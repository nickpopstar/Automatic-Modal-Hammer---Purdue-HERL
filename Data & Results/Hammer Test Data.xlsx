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npoplavs_purdue_edu/Documents/Hammer Research Shared Folder/"/>
    </mc:Choice>
  </mc:AlternateContent>
  <xr:revisionPtr revIDLastSave="1011" documentId="8_{0AABB6DE-AD72-4FEF-8132-269AFD4CD208}" xr6:coauthVersionLast="47" xr6:coauthVersionMax="47" xr10:uidLastSave="{13B0CCAC-C5DE-48D2-8F49-27E8F8CAA0D8}"/>
  <bookViews>
    <workbookView xWindow="-108" yWindow="-108" windowWidth="23256" windowHeight="12456" firstSheet="4" activeTab="4" xr2:uid="{6917BA7D-44B2-4CE5-A388-B2FCF2ADE78A}"/>
  </bookViews>
  <sheets>
    <sheet name="Task List" sheetId="7" state="hidden" r:id="rId1"/>
    <sheet name="Manual Hit Testing Results" sheetId="10" state="hidden" r:id="rId2"/>
    <sheet name="Orders" sheetId="9" state="hidden" r:id="rId3"/>
    <sheet name="Change Log" sheetId="4" state="hidden" r:id="rId4"/>
    <sheet name=" F vs RPM Curves" sheetId="11" r:id="rId5"/>
    <sheet name="Big Hammer Tests" sheetId="8" r:id="rId6"/>
    <sheet name="Max Frequency Test @ 6400" sheetId="6" state="hidden" r:id="rId7"/>
    <sheet name="3200 stepsrev" sheetId="3" state="hidden" r:id="rId8"/>
    <sheet name="Steps per rev adjustments" sheetId="2" r:id="rId9"/>
    <sheet name="Sheet1" sheetId="1" state="hidden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11" l="1"/>
  <c r="F63" i="11"/>
  <c r="D63" i="11"/>
  <c r="C63" i="11"/>
  <c r="B63" i="11"/>
  <c r="F62" i="11"/>
  <c r="E62" i="11"/>
  <c r="D62" i="11"/>
  <c r="C62" i="11"/>
  <c r="B62" i="11"/>
  <c r="F61" i="11"/>
  <c r="E61" i="11"/>
  <c r="D61" i="11"/>
  <c r="C61" i="11"/>
  <c r="B61" i="11"/>
  <c r="F60" i="11"/>
  <c r="E60" i="11"/>
  <c r="D60" i="11"/>
  <c r="C60" i="11"/>
  <c r="B60" i="11"/>
  <c r="F59" i="11"/>
  <c r="E59" i="11"/>
  <c r="D59" i="11"/>
  <c r="C59" i="11"/>
  <c r="B59" i="11"/>
  <c r="F52" i="11"/>
  <c r="E52" i="11"/>
  <c r="D52" i="11"/>
  <c r="C52" i="11"/>
  <c r="B52" i="11"/>
  <c r="F51" i="11"/>
  <c r="E51" i="11"/>
  <c r="D51" i="11"/>
  <c r="C51" i="11"/>
  <c r="B51" i="11"/>
  <c r="F50" i="11"/>
  <c r="E50" i="11"/>
  <c r="D50" i="11"/>
  <c r="C50" i="11"/>
  <c r="B50" i="11"/>
  <c r="F49" i="11"/>
  <c r="E49" i="11"/>
  <c r="D49" i="11"/>
  <c r="C49" i="11"/>
  <c r="B49" i="11"/>
  <c r="F48" i="11"/>
  <c r="E48" i="11"/>
  <c r="D48" i="11"/>
  <c r="C48" i="11"/>
  <c r="B48" i="11"/>
  <c r="H50" i="11"/>
  <c r="G50" i="11"/>
  <c r="G49" i="11"/>
  <c r="F5" i="11"/>
  <c r="J17" i="11"/>
  <c r="J18" i="11"/>
  <c r="J19" i="11"/>
  <c r="J20" i="11"/>
  <c r="J21" i="11"/>
  <c r="J22" i="11"/>
  <c r="J23" i="11"/>
  <c r="J16" i="11"/>
  <c r="J28" i="11"/>
  <c r="J29" i="11"/>
  <c r="J30" i="11"/>
  <c r="J31" i="11"/>
  <c r="J32" i="11"/>
  <c r="J33" i="11"/>
  <c r="J34" i="11"/>
  <c r="J27" i="11"/>
  <c r="C12" i="11"/>
  <c r="F12" i="11"/>
  <c r="E12" i="11"/>
  <c r="D12" i="11"/>
  <c r="B12" i="11"/>
  <c r="F11" i="11"/>
  <c r="E11" i="11"/>
  <c r="D11" i="11"/>
  <c r="C11" i="11"/>
  <c r="B11" i="11"/>
  <c r="E10" i="11"/>
  <c r="F10" i="11"/>
  <c r="D10" i="11"/>
  <c r="C10" i="11"/>
  <c r="B10" i="11"/>
  <c r="F9" i="11"/>
  <c r="E9" i="11"/>
  <c r="D9" i="11"/>
  <c r="C9" i="11"/>
  <c r="B9" i="11"/>
  <c r="F8" i="11"/>
  <c r="E8" i="11"/>
  <c r="D8" i="11"/>
  <c r="C8" i="11"/>
  <c r="F7" i="11"/>
  <c r="E7" i="11"/>
  <c r="D7" i="11"/>
  <c r="C7" i="11"/>
  <c r="B7" i="11"/>
  <c r="F6" i="11"/>
  <c r="E6" i="11"/>
  <c r="D6" i="11"/>
  <c r="C6" i="11"/>
  <c r="B6" i="11"/>
  <c r="E5" i="11"/>
  <c r="D5" i="11"/>
  <c r="C5" i="11"/>
  <c r="B5" i="11"/>
  <c r="G5" i="11"/>
  <c r="H5" i="11"/>
  <c r="G6" i="11"/>
  <c r="H6" i="11"/>
  <c r="G7" i="11"/>
  <c r="H7" i="11"/>
  <c r="G8" i="11"/>
  <c r="H8" i="11"/>
  <c r="G9" i="11"/>
  <c r="H9" i="11"/>
  <c r="G10" i="11"/>
  <c r="H10" i="11"/>
  <c r="G11" i="11"/>
  <c r="H11" i="11"/>
  <c r="G12" i="11"/>
  <c r="H12" i="11"/>
  <c r="N33" i="8"/>
  <c r="P33" i="8" s="1"/>
  <c r="N34" i="8"/>
  <c r="P34" i="8" s="1"/>
  <c r="N35" i="8"/>
  <c r="P35" i="8" s="1"/>
  <c r="N36" i="8"/>
  <c r="P36" i="8" s="1"/>
  <c r="N37" i="8"/>
  <c r="P37" i="8" s="1"/>
  <c r="N38" i="8"/>
  <c r="P38" i="8" s="1"/>
  <c r="N39" i="8"/>
  <c r="P39" i="8" s="1"/>
  <c r="N40" i="8"/>
  <c r="P40" i="8" s="1"/>
  <c r="N41" i="8"/>
  <c r="P41" i="8" s="1"/>
  <c r="N42" i="8"/>
  <c r="P42" i="8" s="1"/>
  <c r="N43" i="8"/>
  <c r="P43" i="8" s="1"/>
  <c r="N44" i="8"/>
  <c r="P44" i="8" s="1"/>
  <c r="D33" i="8"/>
  <c r="H33" i="8"/>
  <c r="E33" i="8" s="1"/>
  <c r="F33" i="8" s="1"/>
  <c r="G33" i="8" s="1"/>
  <c r="O33" i="8"/>
  <c r="D34" i="8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H34" i="8"/>
  <c r="E34" i="8" s="1"/>
  <c r="F34" i="8" s="1"/>
  <c r="G34" i="8" s="1"/>
  <c r="O34" i="8"/>
  <c r="H35" i="8"/>
  <c r="E35" i="8" s="1"/>
  <c r="F35" i="8" s="1"/>
  <c r="G35" i="8" s="1"/>
  <c r="O35" i="8"/>
  <c r="H36" i="8"/>
  <c r="E36" i="8" s="1"/>
  <c r="F36" i="8" s="1"/>
  <c r="G36" i="8" s="1"/>
  <c r="O36" i="8"/>
  <c r="H37" i="8"/>
  <c r="E37" i="8" s="1"/>
  <c r="F37" i="8" s="1"/>
  <c r="G37" i="8" s="1"/>
  <c r="O37" i="8"/>
  <c r="H38" i="8"/>
  <c r="E38" i="8" s="1"/>
  <c r="F38" i="8" s="1"/>
  <c r="G38" i="8" s="1"/>
  <c r="O38" i="8"/>
  <c r="H39" i="8"/>
  <c r="E39" i="8" s="1"/>
  <c r="F39" i="8" s="1"/>
  <c r="G39" i="8" s="1"/>
  <c r="O39" i="8"/>
  <c r="H40" i="8"/>
  <c r="E40" i="8" s="1"/>
  <c r="F40" i="8" s="1"/>
  <c r="G40" i="8" s="1"/>
  <c r="O40" i="8"/>
  <c r="H41" i="8"/>
  <c r="E41" i="8" s="1"/>
  <c r="F41" i="8" s="1"/>
  <c r="G41" i="8" s="1"/>
  <c r="O41" i="8"/>
  <c r="H42" i="8"/>
  <c r="E42" i="8" s="1"/>
  <c r="F42" i="8" s="1"/>
  <c r="G42" i="8" s="1"/>
  <c r="O42" i="8"/>
  <c r="H43" i="8"/>
  <c r="E43" i="8" s="1"/>
  <c r="F43" i="8" s="1"/>
  <c r="G43" i="8" s="1"/>
  <c r="O43" i="8"/>
  <c r="H44" i="8"/>
  <c r="E44" i="8" s="1"/>
  <c r="F44" i="8" s="1"/>
  <c r="G44" i="8" s="1"/>
  <c r="O44" i="8"/>
  <c r="H18" i="8"/>
  <c r="N18" i="8"/>
  <c r="P18" i="8" s="1"/>
  <c r="D18" i="8"/>
  <c r="E18" i="8"/>
  <c r="F18" i="8" s="1"/>
  <c r="G18" i="8" s="1"/>
  <c r="O18" i="8"/>
  <c r="D19" i="8"/>
  <c r="D20" i="8" s="1"/>
  <c r="H19" i="8"/>
  <c r="E19" i="8" s="1"/>
  <c r="F19" i="8" s="1"/>
  <c r="G19" i="8" s="1"/>
  <c r="N19" i="8"/>
  <c r="P19" i="8" s="1"/>
  <c r="O19" i="8"/>
  <c r="H20" i="8"/>
  <c r="N20" i="8"/>
  <c r="P20" i="8" s="1"/>
  <c r="O20" i="8"/>
  <c r="H21" i="8"/>
  <c r="N21" i="8"/>
  <c r="P21" i="8" s="1"/>
  <c r="O21" i="8"/>
  <c r="H22" i="8"/>
  <c r="N22" i="8"/>
  <c r="P22" i="8" s="1"/>
  <c r="O22" i="8"/>
  <c r="H23" i="8"/>
  <c r="N23" i="8"/>
  <c r="P23" i="8" s="1"/>
  <c r="O23" i="8"/>
  <c r="H24" i="8"/>
  <c r="N24" i="8"/>
  <c r="P24" i="8" s="1"/>
  <c r="O24" i="8"/>
  <c r="H25" i="8"/>
  <c r="N25" i="8"/>
  <c r="P25" i="8" s="1"/>
  <c r="O25" i="8"/>
  <c r="H26" i="8"/>
  <c r="N26" i="8"/>
  <c r="P26" i="8" s="1"/>
  <c r="O26" i="8"/>
  <c r="H27" i="8"/>
  <c r="N27" i="8"/>
  <c r="P27" i="8" s="1"/>
  <c r="O27" i="8"/>
  <c r="H28" i="8"/>
  <c r="N28" i="8"/>
  <c r="P28" i="8" s="1"/>
  <c r="O28" i="8"/>
  <c r="H29" i="8"/>
  <c r="N29" i="8"/>
  <c r="P29" i="8" s="1"/>
  <c r="O29" i="8"/>
  <c r="D12" i="8"/>
  <c r="D13" i="8" s="1"/>
  <c r="H12" i="8"/>
  <c r="E12" i="8" s="1"/>
  <c r="F12" i="8" s="1"/>
  <c r="G12" i="8" s="1"/>
  <c r="N12" i="8"/>
  <c r="P12" i="8" s="1"/>
  <c r="O12" i="8"/>
  <c r="H13" i="8"/>
  <c r="N13" i="8"/>
  <c r="P13" i="8" s="1"/>
  <c r="O13" i="8"/>
  <c r="H14" i="8"/>
  <c r="N14" i="8"/>
  <c r="P14" i="8" s="1"/>
  <c r="O14" i="8"/>
  <c r="P3" i="8"/>
  <c r="D3" i="8"/>
  <c r="O3" i="8"/>
  <c r="O4" i="8"/>
  <c r="O5" i="8"/>
  <c r="O6" i="8"/>
  <c r="O7" i="8"/>
  <c r="O8" i="8"/>
  <c r="O9" i="8"/>
  <c r="O10" i="8"/>
  <c r="O11" i="8"/>
  <c r="N3" i="8"/>
  <c r="N4" i="8"/>
  <c r="P4" i="8" s="1"/>
  <c r="N5" i="8"/>
  <c r="P5" i="8" s="1"/>
  <c r="N6" i="8"/>
  <c r="P6" i="8" s="1"/>
  <c r="N7" i="8"/>
  <c r="P7" i="8" s="1"/>
  <c r="N8" i="8"/>
  <c r="P8" i="8" s="1"/>
  <c r="N9" i="8"/>
  <c r="P9" i="8" s="1"/>
  <c r="N10" i="8"/>
  <c r="P10" i="8" s="1"/>
  <c r="N11" i="8"/>
  <c r="P11" i="8" s="1"/>
  <c r="H3" i="8"/>
  <c r="H4" i="8"/>
  <c r="H5" i="8"/>
  <c r="H6" i="8"/>
  <c r="H7" i="8"/>
  <c r="H8" i="8"/>
  <c r="H9" i="8"/>
  <c r="H10" i="8"/>
  <c r="H11" i="8"/>
  <c r="E19" i="6"/>
  <c r="E20" i="6"/>
  <c r="E21" i="6"/>
  <c r="E22" i="6"/>
  <c r="E23" i="6"/>
  <c r="E24" i="6"/>
  <c r="E25" i="6"/>
  <c r="E26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3" i="6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I37" i="2"/>
  <c r="I38" i="2"/>
  <c r="I39" i="2"/>
  <c r="I40" i="2"/>
  <c r="I41" i="2"/>
  <c r="I42" i="2"/>
  <c r="I43" i="2"/>
  <c r="I44" i="2"/>
  <c r="I36" i="2"/>
  <c r="I35" i="2"/>
  <c r="I3" i="2"/>
  <c r="I4" i="2"/>
  <c r="I5" i="2"/>
  <c r="I6" i="2"/>
  <c r="I7" i="2"/>
  <c r="I8" i="2"/>
  <c r="I9" i="2"/>
  <c r="I10" i="2"/>
  <c r="I11" i="2"/>
  <c r="I2" i="2"/>
  <c r="I14" i="2"/>
  <c r="I15" i="2"/>
  <c r="I16" i="2"/>
  <c r="I17" i="2"/>
  <c r="I18" i="2"/>
  <c r="I19" i="2"/>
  <c r="I20" i="2"/>
  <c r="I21" i="2"/>
  <c r="I22" i="2"/>
  <c r="I13" i="2"/>
  <c r="I25" i="2"/>
  <c r="I26" i="2"/>
  <c r="I27" i="2"/>
  <c r="I28" i="2"/>
  <c r="I29" i="2"/>
  <c r="I30" i="2"/>
  <c r="I31" i="2"/>
  <c r="I32" i="2"/>
  <c r="I33" i="2"/>
  <c r="I24" i="2"/>
  <c r="H24" i="2"/>
  <c r="J24" i="2" s="1"/>
  <c r="H10" i="2"/>
  <c r="J10" i="2" s="1"/>
  <c r="H11" i="2"/>
  <c r="J11" i="2" s="1"/>
  <c r="H13" i="2"/>
  <c r="J13" i="2" s="1"/>
  <c r="H14" i="2"/>
  <c r="J14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J20" i="2" s="1"/>
  <c r="H21" i="2"/>
  <c r="J21" i="2" s="1"/>
  <c r="H22" i="2"/>
  <c r="J22" i="2" s="1"/>
  <c r="H3" i="2"/>
  <c r="J3" i="2" s="1"/>
  <c r="H4" i="2"/>
  <c r="J4" i="2" s="1"/>
  <c r="H5" i="2"/>
  <c r="J5" i="2" s="1"/>
  <c r="H6" i="2"/>
  <c r="J6" i="2" s="1"/>
  <c r="H7" i="2"/>
  <c r="J7" i="2" s="1"/>
  <c r="H8" i="2"/>
  <c r="J8" i="2" s="1"/>
  <c r="H9" i="2"/>
  <c r="J9" i="2" s="1"/>
  <c r="H2" i="2"/>
  <c r="J2" i="2" s="1"/>
  <c r="H25" i="2"/>
  <c r="J25" i="2" s="1"/>
  <c r="H26" i="2"/>
  <c r="J26" i="2" s="1"/>
  <c r="H27" i="2"/>
  <c r="J27" i="2" s="1"/>
  <c r="H28" i="2"/>
  <c r="J28" i="2" s="1"/>
  <c r="H29" i="2"/>
  <c r="J29" i="2" s="1"/>
  <c r="H30" i="2"/>
  <c r="J30" i="2" s="1"/>
  <c r="H31" i="2"/>
  <c r="J31" i="2" s="1"/>
  <c r="H32" i="2"/>
  <c r="J32" i="2" s="1"/>
  <c r="H33" i="2"/>
  <c r="J33" i="2" s="1"/>
  <c r="H35" i="2"/>
  <c r="J35" i="2" s="1"/>
  <c r="H36" i="2"/>
  <c r="J36" i="2" s="1"/>
  <c r="H37" i="2"/>
  <c r="J37" i="2" s="1"/>
  <c r="H38" i="2"/>
  <c r="J38" i="2" s="1"/>
  <c r="H39" i="2"/>
  <c r="J39" i="2" s="1"/>
  <c r="H40" i="2"/>
  <c r="J40" i="2" s="1"/>
  <c r="H41" i="2"/>
  <c r="J41" i="2" s="1"/>
  <c r="H42" i="2"/>
  <c r="J42" i="2" s="1"/>
  <c r="H43" i="2"/>
  <c r="J43" i="2" s="1"/>
  <c r="H44" i="2"/>
  <c r="J44" i="2" s="1"/>
  <c r="H63" i="11" l="1"/>
  <c r="G63" i="11"/>
  <c r="H62" i="11"/>
  <c r="G62" i="11"/>
  <c r="H61" i="11"/>
  <c r="G61" i="11"/>
  <c r="H60" i="11"/>
  <c r="G60" i="11"/>
  <c r="H59" i="11"/>
  <c r="G59" i="11"/>
  <c r="H49" i="11"/>
  <c r="G52" i="11"/>
  <c r="H52" i="11"/>
  <c r="G51" i="11"/>
  <c r="H51" i="11"/>
  <c r="G48" i="11"/>
  <c r="H48" i="11"/>
  <c r="H27" i="11"/>
  <c r="G27" i="11"/>
  <c r="H28" i="11"/>
  <c r="G28" i="11"/>
  <c r="H29" i="11"/>
  <c r="G29" i="11"/>
  <c r="H30" i="11"/>
  <c r="G30" i="11"/>
  <c r="H31" i="11"/>
  <c r="G31" i="11"/>
  <c r="H32" i="11"/>
  <c r="G32" i="11"/>
  <c r="H33" i="11"/>
  <c r="G33" i="11"/>
  <c r="H34" i="11"/>
  <c r="G34" i="11"/>
  <c r="H16" i="11"/>
  <c r="G16" i="11"/>
  <c r="H17" i="11"/>
  <c r="G17" i="11"/>
  <c r="H18" i="11"/>
  <c r="G18" i="11"/>
  <c r="H19" i="11"/>
  <c r="G19" i="11"/>
  <c r="H20" i="11"/>
  <c r="G20" i="11"/>
  <c r="H21" i="11"/>
  <c r="G21" i="11"/>
  <c r="H22" i="11"/>
  <c r="G22" i="11"/>
  <c r="H23" i="11"/>
  <c r="G23" i="11"/>
  <c r="E20" i="8"/>
  <c r="F20" i="8" s="1"/>
  <c r="G20" i="8" s="1"/>
  <c r="D21" i="8"/>
  <c r="D22" i="8" s="1"/>
  <c r="E13" i="8"/>
  <c r="F13" i="8" s="1"/>
  <c r="G13" i="8" s="1"/>
  <c r="D14" i="8"/>
  <c r="E14" i="8" s="1"/>
  <c r="F14" i="8" s="1"/>
  <c r="G14" i="8" s="1"/>
  <c r="E3" i="8"/>
  <c r="F3" i="8" s="1"/>
  <c r="G3" i="8" s="1"/>
  <c r="D4" i="8"/>
  <c r="I23" i="2"/>
  <c r="I34" i="2"/>
  <c r="I45" i="2"/>
  <c r="I12" i="2"/>
  <c r="E22" i="8" l="1"/>
  <c r="F22" i="8" s="1"/>
  <c r="G22" i="8" s="1"/>
  <c r="D23" i="8"/>
  <c r="E21" i="8"/>
  <c r="F21" i="8" s="1"/>
  <c r="G21" i="8" s="1"/>
  <c r="D5" i="8"/>
  <c r="E4" i="8"/>
  <c r="F4" i="8" s="1"/>
  <c r="G4" i="8" s="1"/>
  <c r="D24" i="8" l="1"/>
  <c r="E23" i="8"/>
  <c r="F23" i="8" s="1"/>
  <c r="G23" i="8" s="1"/>
  <c r="D6" i="8"/>
  <c r="E5" i="8"/>
  <c r="F5" i="8" s="1"/>
  <c r="G5" i="8" s="1"/>
  <c r="E24" i="8" l="1"/>
  <c r="F24" i="8" s="1"/>
  <c r="G24" i="8" s="1"/>
  <c r="D25" i="8"/>
  <c r="D7" i="8"/>
  <c r="E6" i="8"/>
  <c r="F6" i="8" s="1"/>
  <c r="G6" i="8" s="1"/>
  <c r="D26" i="8" l="1"/>
  <c r="E25" i="8"/>
  <c r="F25" i="8" s="1"/>
  <c r="G25" i="8" s="1"/>
  <c r="D8" i="8"/>
  <c r="E7" i="8"/>
  <c r="F7" i="8" s="1"/>
  <c r="G7" i="8" s="1"/>
  <c r="E26" i="8" l="1"/>
  <c r="F26" i="8" s="1"/>
  <c r="G26" i="8" s="1"/>
  <c r="D27" i="8"/>
  <c r="D9" i="8"/>
  <c r="E8" i="8"/>
  <c r="F8" i="8" s="1"/>
  <c r="G8" i="8" s="1"/>
  <c r="D28" i="8" l="1"/>
  <c r="E27" i="8"/>
  <c r="F27" i="8" s="1"/>
  <c r="G27" i="8" s="1"/>
  <c r="D10" i="8"/>
  <c r="E9" i="8"/>
  <c r="F9" i="8" s="1"/>
  <c r="G9" i="8" s="1"/>
  <c r="E28" i="8" l="1"/>
  <c r="F28" i="8" s="1"/>
  <c r="G28" i="8" s="1"/>
  <c r="D29" i="8"/>
  <c r="E29" i="8" s="1"/>
  <c r="F29" i="8" s="1"/>
  <c r="G29" i="8" s="1"/>
  <c r="D11" i="8"/>
  <c r="E11" i="8" s="1"/>
  <c r="F11" i="8" s="1"/>
  <c r="G11" i="8" s="1"/>
  <c r="E10" i="8"/>
  <c r="F10" i="8" s="1"/>
  <c r="G10" i="8" s="1"/>
</calcChain>
</file>

<file path=xl/sharedStrings.xml><?xml version="1.0" encoding="utf-8"?>
<sst xmlns="http://schemas.openxmlformats.org/spreadsheetml/2006/main" count="364" uniqueCount="179">
  <si>
    <t>RESEARCH TASK TRACKER</t>
  </si>
  <si>
    <t>Initials:</t>
  </si>
  <si>
    <t>NB</t>
  </si>
  <si>
    <t>Breitwieser</t>
  </si>
  <si>
    <t>BR</t>
  </si>
  <si>
    <t>Reamer</t>
  </si>
  <si>
    <t>NP</t>
  </si>
  <si>
    <t>Poplavskyy</t>
  </si>
  <si>
    <t>WM</t>
  </si>
  <si>
    <t>Maney</t>
  </si>
  <si>
    <t>DATE ADDED</t>
  </si>
  <si>
    <t>GROUP</t>
  </si>
  <si>
    <t>TASK</t>
  </si>
  <si>
    <t>SUBTASKS</t>
  </si>
  <si>
    <t>SUSPENSE</t>
  </si>
  <si>
    <t>WHO</t>
  </si>
  <si>
    <t>STATUS</t>
  </si>
  <si>
    <t>NOTES</t>
  </si>
  <si>
    <t>End of Fall 25</t>
  </si>
  <si>
    <t>Speed verification, tap into encoder</t>
  </si>
  <si>
    <t>Rejected (state why in comments)</t>
  </si>
  <si>
    <t>Didn't work due to slow DAQ -- NB tried</t>
  </si>
  <si>
    <t>Fix double hitting, make consistent good over range of speeds</t>
  </si>
  <si>
    <t>In-progress</t>
  </si>
  <si>
    <t xml:space="preserve">voltage shifter (3.3V to 5V) </t>
  </si>
  <si>
    <t>Not started</t>
  </si>
  <si>
    <t>if there's time</t>
  </si>
  <si>
    <t>run high frequency tests on pigpio</t>
  </si>
  <si>
    <t xml:space="preserve">40,000 steps/rev </t>
  </si>
  <si>
    <t>benchmark the pi with pigpio</t>
  </si>
  <si>
    <t>Hit something else using pigpio and compare consistency</t>
  </si>
  <si>
    <t>move station to old herrick</t>
  </si>
  <si>
    <t>fix wobble in hammer</t>
  </si>
  <si>
    <t>make aluminum insert</t>
  </si>
  <si>
    <t>Completed (no ARR)</t>
  </si>
  <si>
    <t>Make UI on MATLAB</t>
  </si>
  <si>
    <t>confirm with Gibert if he wants the UI on MATLAB</t>
  </si>
  <si>
    <t>Performance curves for big hammer</t>
  </si>
  <si>
    <t>test on panel</t>
  </si>
  <si>
    <t>Extend hammer mount</t>
  </si>
  <si>
    <t>3d printer</t>
  </si>
  <si>
    <t>SAMH use in Trailer</t>
  </si>
  <si>
    <t>Discuss with Gibert</t>
  </si>
  <si>
    <t>How should it be utilized to hit the trailer? Interior/Exterior? Isolated from Trailer to eliminate interference from motor Freq? Recommend table with diff length legs and adjustable</t>
  </si>
  <si>
    <t>finalize motor mount</t>
  </si>
  <si>
    <t>Design</t>
  </si>
  <si>
    <t>Get Pi to work on a 2nd computer</t>
  </si>
  <si>
    <t>Send code to BR</t>
  </si>
  <si>
    <t>write calibration code</t>
  </si>
  <si>
    <t>write 2-way comm code</t>
  </si>
  <si>
    <t>test with mini gui</t>
  </si>
  <si>
    <t>Send buy order to Karsten</t>
  </si>
  <si>
    <t>90deg connector - NB has link</t>
  </si>
  <si>
    <t>talk to Dr G to drill holes in marble table and if it will go under the same ticket as Karsten's work</t>
  </si>
  <si>
    <t>change all units to SPM</t>
  </si>
  <si>
    <t>drill holes in marble table</t>
  </si>
  <si>
    <t>NB, BR</t>
  </si>
  <si>
    <t>improve gui</t>
  </si>
  <si>
    <t>redesign motor mount for 90 deg connector</t>
  </si>
  <si>
    <t>auto launch code on bootup, so user doesn't need to open vnc view</t>
  </si>
  <si>
    <t>make equipment board</t>
  </si>
  <si>
    <t>make project box</t>
  </si>
  <si>
    <t>Testing all the hammer tips for big and small hammer (performance curves)</t>
  </si>
  <si>
    <t>upgrading motor mount</t>
  </si>
  <si>
    <t>upgrading hammer mount for 90deg connector</t>
  </si>
  <si>
    <t>fix overrotation for high force inputs (&gt;2kN)</t>
  </si>
  <si>
    <t>Test double hit code</t>
  </si>
  <si>
    <t>ask gibert about why force is need to get 4-5 modal frequency spikes</t>
  </si>
  <si>
    <t>ask gibert about safety write-up</t>
  </si>
  <si>
    <t>ask gibert about using different forces at different laser locations for maximum excitation</t>
  </si>
  <si>
    <t>make poster</t>
  </si>
  <si>
    <t>make outline</t>
  </si>
  <si>
    <t>map it out</t>
  </si>
  <si>
    <t>divide sections</t>
  </si>
  <si>
    <t>write that shi</t>
  </si>
  <si>
    <t>edit that shi</t>
  </si>
  <si>
    <t>print that di</t>
  </si>
  <si>
    <t>Outline</t>
  </si>
  <si>
    <t>Abstract/Overview</t>
  </si>
  <si>
    <t>Motivation</t>
  </si>
  <si>
    <t>manual testing is non-repeatable, and existing systems are very expensive</t>
  </si>
  <si>
    <t>Background</t>
  </si>
  <si>
    <t>Process</t>
  </si>
  <si>
    <t>design process</t>
  </si>
  <si>
    <t>Results</t>
  </si>
  <si>
    <t>Conclusions</t>
  </si>
  <si>
    <t>real world applications</t>
  </si>
  <si>
    <t>Force (N)</t>
  </si>
  <si>
    <t>DH?</t>
  </si>
  <si>
    <t>MEAN</t>
  </si>
  <si>
    <t>SD</t>
  </si>
  <si>
    <t>N</t>
  </si>
  <si>
    <t>Y</t>
  </si>
  <si>
    <t>Item</t>
  </si>
  <si>
    <t>Link</t>
  </si>
  <si>
    <t>Breakout board</t>
  </si>
  <si>
    <t>https://www.digikey.com/en/products/detail/seeed-technology-co-ltd/114992565/13635853?gclsrc=aw.ds&amp;gad_source=1&amp;gad_campaignid=20243136172&amp;gbraid=0AAAAADrbLlihVj4K8yFeuroc6Bo3VfvP-&amp;gclid=CjwKCAiAv5bMBhAIEiwAqP9GuK3dkkd3yLwZgDn0ni2t0Ah3fUn-6KDSlx6YVf9s3tTlqBLTRBdLAxoCrKIQAvD_BwE</t>
  </si>
  <si>
    <t>12" M/M jumper wires</t>
  </si>
  <si>
    <t>https://www.digikey.com/en/products/detail/sparkfun-electronics/09387/5993849</t>
  </si>
  <si>
    <t>90 Degree BNC connector</t>
  </si>
  <si>
    <t>https://www.digikey.com/en/products/detail/amphenol-rf/31-9-RFX/100653</t>
  </si>
  <si>
    <t>Date</t>
  </si>
  <si>
    <t>What issue to solve</t>
  </si>
  <si>
    <t>Change</t>
  </si>
  <si>
    <t>Observation</t>
  </si>
  <si>
    <t>Hits being "fat", solve double hitting on slow speeds, increase power for hammer to retract to minimize contact time</t>
  </si>
  <si>
    <t>Change back accelration to constant over different speeds</t>
  </si>
  <si>
    <t>Change PID control to "B" from "D"</t>
  </si>
  <si>
    <t>Issue with holding speed at end?</t>
  </si>
  <si>
    <t>Decrease acceleration distance to 50% of travel</t>
  </si>
  <si>
    <t>Issue with double hitting / precision</t>
  </si>
  <si>
    <t>Change steps/rev to 6400</t>
  </si>
  <si>
    <t>One Step from Test Subject</t>
  </si>
  <si>
    <t>Steps/Rev</t>
  </si>
  <si>
    <t>Start Speed (rpm)</t>
  </si>
  <si>
    <t>Speed increment (rpm)</t>
  </si>
  <si>
    <t>Top Speed (rpm)</t>
  </si>
  <si>
    <t>Steps/ramp level</t>
  </si>
  <si>
    <t>Step Cap (to reduce waiting)</t>
  </si>
  <si>
    <t>Steps of Acceleration</t>
  </si>
  <si>
    <t>Step Distance</t>
  </si>
  <si>
    <t>Hit 1</t>
  </si>
  <si>
    <t>Hit 2</t>
  </si>
  <si>
    <t>Hit 3</t>
  </si>
  <si>
    <t>Hit 4</t>
  </si>
  <si>
    <t>Hit 5</t>
  </si>
  <si>
    <t>AVG</t>
  </si>
  <si>
    <t>STDDEV</t>
  </si>
  <si>
    <t>avg V</t>
  </si>
  <si>
    <t>rpm = (x+160.2)/40.056</t>
  </si>
  <si>
    <t>Two Steps from Test Subject</t>
  </si>
  <si>
    <t>Zero Steps from Test Subject</t>
  </si>
  <si>
    <t>re-zeroed</t>
  </si>
  <si>
    <t xml:space="preserve">Input force of 500-&gt; force output </t>
  </si>
  <si>
    <t xml:space="preserve">test 1 </t>
  </si>
  <si>
    <t>test 2</t>
  </si>
  <si>
    <t>test 3</t>
  </si>
  <si>
    <t>avg</t>
  </si>
  <si>
    <t>STEP/SEC</t>
  </si>
  <si>
    <t>FORCE 1</t>
  </si>
  <si>
    <t>FORCE 2</t>
  </si>
  <si>
    <t>FORCE 3</t>
  </si>
  <si>
    <t>FORCE 4</t>
  </si>
  <si>
    <t>FORCE 5</t>
  </si>
  <si>
    <t>AVERAGE</t>
  </si>
  <si>
    <t>Speed (rev/s)</t>
  </si>
  <si>
    <t>avg mV</t>
  </si>
  <si>
    <t>Input Force</t>
  </si>
  <si>
    <t>Actual Force (N)</t>
  </si>
  <si>
    <t>test 2: quicker speed off of part</t>
  </si>
  <si>
    <t>test 3: even faster speed off part</t>
  </si>
  <si>
    <t>Test 4:linear speed off the part</t>
  </si>
  <si>
    <t>Big Hammer</t>
  </si>
  <si>
    <t>Red Tip (Hard)</t>
  </si>
  <si>
    <t>RPM</t>
  </si>
  <si>
    <t xml:space="preserve">Hit 3 </t>
  </si>
  <si>
    <t>Average</t>
  </si>
  <si>
    <t>STD</t>
  </si>
  <si>
    <t>Green Tip (Med)</t>
  </si>
  <si>
    <t>deviation</t>
  </si>
  <si>
    <t>Baseline Corrected Value</t>
  </si>
  <si>
    <t>Orange Tip (Soft)</t>
  </si>
  <si>
    <t>Test parameters:</t>
  </si>
  <si>
    <t>N/V</t>
  </si>
  <si>
    <t>N/v</t>
  </si>
  <si>
    <t>Big factor</t>
  </si>
  <si>
    <t>Small factor</t>
  </si>
  <si>
    <t>Small Hammer</t>
  </si>
  <si>
    <t xml:space="preserve">Plastic Tip </t>
  </si>
  <si>
    <t xml:space="preserve">Metal Tip </t>
  </si>
  <si>
    <t>Calibration</t>
  </si>
  <si>
    <t>Desired force</t>
  </si>
  <si>
    <t>150N, 5 hits, 2% tolerance</t>
  </si>
  <si>
    <t>Cal 1 avg</t>
  </si>
  <si>
    <t>Cal 2 avg</t>
  </si>
  <si>
    <t>Cal 3 avg</t>
  </si>
  <si>
    <t>Test surface: Semi-truck panel in old HERL</t>
  </si>
  <si>
    <t>Steps/rev:</t>
  </si>
  <si>
    <t>1 step away from Test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</si>
</sst>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0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 (Body)"/>
    </font>
    <font>
      <b/>
      <u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Aptos Narrow (Body)"/>
    </font>
    <font>
      <b/>
      <sz val="12"/>
      <color theme="1"/>
      <name val="Aptos Narrow (Body)"/>
    </font>
    <font>
      <sz val="11"/>
      <color theme="1"/>
      <name val="Aptos Narrow (Body)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3" fillId="4" borderId="0" xfId="0" applyFont="1" applyFill="1"/>
    <xf numFmtId="16" fontId="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" fontId="6" fillId="0" borderId="0" xfId="0" applyNumberFormat="1" applyFont="1" applyAlignment="1">
      <alignment horizontal="center" vertical="center"/>
    </xf>
    <xf numFmtId="16" fontId="5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5" fillId="0" borderId="0" xfId="0" applyFont="1"/>
    <xf numFmtId="0" fontId="2" fillId="0" borderId="0" xfId="1"/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16" fontId="0" fillId="0" borderId="0" xfId="0" applyNumberFormat="1" applyAlignment="1">
      <alignment horizontal="center" vertical="center" wrapText="1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64" fontId="0" fillId="0" borderId="0" xfId="0" applyNumberFormat="1"/>
    <xf numFmtId="0" fontId="17" fillId="0" borderId="0" xfId="0" applyFont="1"/>
    <xf numFmtId="0" fontId="3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2" borderId="0" xfId="0" applyFill="1"/>
    <xf numFmtId="0" fontId="0" fillId="5" borderId="2" xfId="0" applyFill="1" applyBorder="1"/>
    <xf numFmtId="0" fontId="0" fillId="6" borderId="3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 vs RPM Red Tip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F vs RPM Curves'!$G$4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2629396325459319"/>
                  <c:y val="-4.335260115606936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 F vs RPM Curves'!$A$5:$A$12</c:f>
              <c:numCache>
                <c:formatCode>General</c:formatCode>
                <c:ptCount val="8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</c:numCache>
            </c:numRef>
          </c:xVal>
          <c:yVal>
            <c:numRef>
              <c:f>' F vs RPM Curves'!$G$5:$G$12</c:f>
              <c:numCache>
                <c:formatCode>General</c:formatCode>
                <c:ptCount val="8"/>
                <c:pt idx="0">
                  <c:v>152.32</c:v>
                </c:pt>
                <c:pt idx="1">
                  <c:v>207.76</c:v>
                </c:pt>
                <c:pt idx="2">
                  <c:v>257.52</c:v>
                </c:pt>
                <c:pt idx="3">
                  <c:v>311.60000000000002</c:v>
                </c:pt>
                <c:pt idx="4">
                  <c:v>360.28000000000003</c:v>
                </c:pt>
                <c:pt idx="5">
                  <c:v>417.28000000000003</c:v>
                </c:pt>
                <c:pt idx="6">
                  <c:v>472.14</c:v>
                </c:pt>
                <c:pt idx="7">
                  <c:v>537.52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75BABD64-D9C9-4155-B236-017060C8A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019271"/>
        <c:axId val="971021319"/>
      </c:scatterChart>
      <c:valAx>
        <c:axId val="971019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021319"/>
        <c:crosses val="autoZero"/>
        <c:crossBetween val="midCat"/>
      </c:valAx>
      <c:valAx>
        <c:axId val="971021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019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 vs RPM Green Tip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F vs RPM Curves'!$J$15</c:f>
              <c:strCache>
                <c:ptCount val="1"/>
                <c:pt idx="0">
                  <c:v>Baseline Corrected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3673556430446193"/>
                  <c:y val="-5.25048169556840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 F vs RPM Curves'!$A$16:$A$23</c:f>
              <c:numCache>
                <c:formatCode>General</c:formatCode>
                <c:ptCount val="8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</c:numCache>
            </c:numRef>
          </c:xVal>
          <c:yVal>
            <c:numRef>
              <c:f>' F vs RPM Curves'!$J$16:$J$23</c:f>
              <c:numCache>
                <c:formatCode>General</c:formatCode>
                <c:ptCount val="8"/>
                <c:pt idx="0">
                  <c:v>106.94000000000001</c:v>
                </c:pt>
                <c:pt idx="1">
                  <c:v>163.18</c:v>
                </c:pt>
                <c:pt idx="2">
                  <c:v>184.49999999999997</c:v>
                </c:pt>
                <c:pt idx="3">
                  <c:v>233.44</c:v>
                </c:pt>
                <c:pt idx="4">
                  <c:v>278.60000000000002</c:v>
                </c:pt>
                <c:pt idx="5">
                  <c:v>323.52</c:v>
                </c:pt>
                <c:pt idx="6">
                  <c:v>369.58000000000004</c:v>
                </c:pt>
                <c:pt idx="7">
                  <c:v>425.96000000000004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BF-4B8A-A01D-3620743BE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547400"/>
        <c:axId val="567549448"/>
      </c:scatterChart>
      <c:valAx>
        <c:axId val="567547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49448"/>
        <c:crosses val="autoZero"/>
        <c:crossBetween val="midCat"/>
      </c:valAx>
      <c:valAx>
        <c:axId val="567549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47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 vs RPM Orange Tip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F vs RPM Curves'!$J$26</c:f>
              <c:strCache>
                <c:ptCount val="1"/>
                <c:pt idx="0">
                  <c:v>Baseline Corrected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2562445319335083"/>
                  <c:y val="5.104455873651631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 F vs RPM Curves'!$A$27:$A$34</c:f>
              <c:numCache>
                <c:formatCode>General</c:formatCode>
                <c:ptCount val="8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</c:numCache>
            </c:numRef>
          </c:xVal>
          <c:yVal>
            <c:numRef>
              <c:f>' F vs RPM Curves'!$J$27:$J$34</c:f>
              <c:numCache>
                <c:formatCode>General</c:formatCode>
                <c:ptCount val="8"/>
                <c:pt idx="0">
                  <c:v>58.96</c:v>
                </c:pt>
                <c:pt idx="1">
                  <c:v>91.62</c:v>
                </c:pt>
                <c:pt idx="2">
                  <c:v>105.98</c:v>
                </c:pt>
                <c:pt idx="3">
                  <c:v>134.35999999999999</c:v>
                </c:pt>
                <c:pt idx="4">
                  <c:v>162.69999999999999</c:v>
                </c:pt>
                <c:pt idx="5">
                  <c:v>189.27999999999997</c:v>
                </c:pt>
                <c:pt idx="6">
                  <c:v>218.26</c:v>
                </c:pt>
                <c:pt idx="7">
                  <c:v>249.2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EE-4F10-8671-E5DFC9480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565832"/>
        <c:axId val="567567880"/>
      </c:scatterChart>
      <c:valAx>
        <c:axId val="567565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67880"/>
        <c:crosses val="autoZero"/>
        <c:crossBetween val="midCat"/>
      </c:valAx>
      <c:valAx>
        <c:axId val="567567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65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 vs RPM Metal</a:t>
            </a:r>
            <a:r>
              <a:rPr lang="en-US" baseline="0"/>
              <a:t> Tip small hammer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F vs RPM Curves'!$G$47</c:f>
              <c:strCache>
                <c:ptCount val="1"/>
                <c:pt idx="0">
                  <c:v>Average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4654571303587052"/>
                  <c:y val="1.32611548556430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 F vs RPM Curves'!$A$48:$A$52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 F vs RPM Curves'!$G$48:$G$52</c:f>
              <c:numCache>
                <c:formatCode>General</c:formatCode>
                <c:ptCount val="5"/>
                <c:pt idx="0">
                  <c:v>18.16</c:v>
                </c:pt>
                <c:pt idx="1">
                  <c:v>31.919999999999998</c:v>
                </c:pt>
                <c:pt idx="2">
                  <c:v>51.1</c:v>
                </c:pt>
                <c:pt idx="3">
                  <c:v>69.459999999999994</c:v>
                </c:pt>
                <c:pt idx="4">
                  <c:v>88.38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26-4707-B197-A347B0339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789600"/>
        <c:axId val="1021790080"/>
      </c:scatterChart>
      <c:valAx>
        <c:axId val="102178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790080"/>
        <c:crosses val="autoZero"/>
        <c:crossBetween val="midCat"/>
      </c:valAx>
      <c:valAx>
        <c:axId val="102179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789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 vs RPM Plastic Tip small Hammer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F vs RPM Curves'!$G$58</c:f>
              <c:strCache>
                <c:ptCount val="1"/>
                <c:pt idx="0">
                  <c:v>Average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0276793525809273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 F vs RPM Curves'!$A$59:$A$63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 F vs RPM Curves'!$G$59:$G$63</c:f>
              <c:numCache>
                <c:formatCode>General</c:formatCode>
                <c:ptCount val="5"/>
                <c:pt idx="0">
                  <c:v>11.64</c:v>
                </c:pt>
                <c:pt idx="1">
                  <c:v>25.980000000000008</c:v>
                </c:pt>
                <c:pt idx="2">
                  <c:v>36.18</c:v>
                </c:pt>
                <c:pt idx="3">
                  <c:v>51.160000000000004</c:v>
                </c:pt>
                <c:pt idx="4">
                  <c:v>64.78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E7-4BA5-BB39-DD4A8179B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336640"/>
        <c:axId val="585333760"/>
      </c:scatterChart>
      <c:valAx>
        <c:axId val="58533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33760"/>
        <c:crosses val="autoZero"/>
        <c:crossBetween val="midCat"/>
      </c:valAx>
      <c:valAx>
        <c:axId val="58533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3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 Step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1682195975503057E-2"/>
                  <c:y val="-8.530183727034120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'Big Hammer Tests'!$D$3:$D$14</c:f>
              <c:numCache>
                <c:formatCode>General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  <c:pt idx="4">
                  <c:v>16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  <c:pt idx="8">
                  <c:v>24</c:v>
                </c:pt>
                <c:pt idx="9">
                  <c:v>26</c:v>
                </c:pt>
                <c:pt idx="10">
                  <c:v>28</c:v>
                </c:pt>
                <c:pt idx="11">
                  <c:v>30</c:v>
                </c:pt>
              </c:numCache>
            </c:numRef>
          </c:xVal>
          <c:yVal>
            <c:numRef>
              <c:f>'Big Hammer Tests'!$N$3:$N$14</c:f>
              <c:numCache>
                <c:formatCode>0.000</c:formatCode>
                <c:ptCount val="12"/>
                <c:pt idx="0">
                  <c:v>152.7783361594953</c:v>
                </c:pt>
                <c:pt idx="1">
                  <c:v>247.00305455455344</c:v>
                </c:pt>
                <c:pt idx="2">
                  <c:v>316.49612365566736</c:v>
                </c:pt>
                <c:pt idx="3">
                  <c:v>395.39113821804767</c:v>
                </c:pt>
                <c:pt idx="4">
                  <c:v>478.89425638108133</c:v>
                </c:pt>
                <c:pt idx="5">
                  <c:v>571.59318429029122</c:v>
                </c:pt>
                <c:pt idx="6">
                  <c:v>645.17943824535462</c:v>
                </c:pt>
                <c:pt idx="7">
                  <c:v>722.1841681439314</c:v>
                </c:pt>
                <c:pt idx="8">
                  <c:v>799.99510689615261</c:v>
                </c:pt>
                <c:pt idx="9">
                  <c:v>894.44004685680591</c:v>
                </c:pt>
                <c:pt idx="10">
                  <c:v>953.63419224267682</c:v>
                </c:pt>
                <c:pt idx="11">
                  <c:v>1032.8181359778009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BB-47D6-9D71-772D68FB3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058944"/>
        <c:axId val="1047059424"/>
      </c:scatterChart>
      <c:valAx>
        <c:axId val="104705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059424"/>
        <c:crosses val="autoZero"/>
        <c:crossBetween val="midCat"/>
      </c:valAx>
      <c:valAx>
        <c:axId val="104705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05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</a:t>
            </a:r>
            <a:r>
              <a:rPr lang="en-US" baseline="0"/>
              <a:t> Steps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8459973753280843E-2"/>
                  <c:y val="1.574074074074074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'Big Hammer Tests'!$D$18:$D$29</c:f>
              <c:numCache>
                <c:formatCode>General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  <c:pt idx="4">
                  <c:v>16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  <c:pt idx="8">
                  <c:v>24</c:v>
                </c:pt>
                <c:pt idx="9">
                  <c:v>26</c:v>
                </c:pt>
                <c:pt idx="10">
                  <c:v>28</c:v>
                </c:pt>
                <c:pt idx="11">
                  <c:v>30</c:v>
                </c:pt>
              </c:numCache>
            </c:numRef>
          </c:xVal>
          <c:yVal>
            <c:numRef>
              <c:f>'Big Hammer Tests'!$N$18:$N$29</c:f>
              <c:numCache>
                <c:formatCode>General</c:formatCode>
                <c:ptCount val="12"/>
                <c:pt idx="0">
                  <c:v>131.87995959498966</c:v>
                </c:pt>
                <c:pt idx="1">
                  <c:v>227.12926157028105</c:v>
                </c:pt>
                <c:pt idx="2">
                  <c:v>291.15282795657561</c:v>
                </c:pt>
                <c:pt idx="3">
                  <c:v>369.35356209026003</c:v>
                </c:pt>
                <c:pt idx="4">
                  <c:v>482.03324859990306</c:v>
                </c:pt>
                <c:pt idx="5">
                  <c:v>536.14040267043777</c:v>
                </c:pt>
                <c:pt idx="6">
                  <c:v>635.02992289590998</c:v>
                </c:pt>
                <c:pt idx="7">
                  <c:v>698.67310724592687</c:v>
                </c:pt>
                <c:pt idx="8">
                  <c:v>771.96484946615692</c:v>
                </c:pt>
                <c:pt idx="9">
                  <c:v>885.067112695015</c:v>
                </c:pt>
                <c:pt idx="10">
                  <c:v>948.67122470549339</c:v>
                </c:pt>
                <c:pt idx="11">
                  <c:v>1024.1093528029676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79-43C6-A409-AB3A6F6DD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7727071"/>
        <c:axId val="1977728031"/>
      </c:scatterChart>
      <c:valAx>
        <c:axId val="197772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728031"/>
        <c:crosses val="autoZero"/>
        <c:crossBetween val="midCat"/>
      </c:valAx>
      <c:valAx>
        <c:axId val="197772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727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</a:t>
            </a:r>
            <a:r>
              <a:rPr lang="en-US" baseline="0"/>
              <a:t> Steps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1477877949556812E-2"/>
                  <c:y val="-1.7842788612579057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'Big Hammer Tests'!$D$33:$D$44</c:f>
              <c:numCache>
                <c:formatCode>General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  <c:pt idx="4">
                  <c:v>16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  <c:pt idx="8">
                  <c:v>24</c:v>
                </c:pt>
                <c:pt idx="9">
                  <c:v>26</c:v>
                </c:pt>
                <c:pt idx="10">
                  <c:v>28</c:v>
                </c:pt>
                <c:pt idx="11">
                  <c:v>30</c:v>
                </c:pt>
              </c:numCache>
            </c:numRef>
          </c:xVal>
          <c:yVal>
            <c:numRef>
              <c:f>'Big Hammer Tests'!$N$33:$N$44</c:f>
              <c:numCache>
                <c:formatCode>General</c:formatCode>
                <c:ptCount val="12"/>
                <c:pt idx="0">
                  <c:v>178.33234480536365</c:v>
                </c:pt>
                <c:pt idx="1">
                  <c:v>278.47893661910263</c:v>
                </c:pt>
                <c:pt idx="2">
                  <c:v>334.10502508227108</c:v>
                </c:pt>
                <c:pt idx="3">
                  <c:v>414.32096185933585</c:v>
                </c:pt>
                <c:pt idx="4">
                  <c:v>502.44168873670554</c:v>
                </c:pt>
                <c:pt idx="5">
                  <c:v>562.56699526213663</c:v>
                </c:pt>
                <c:pt idx="6">
                  <c:v>652.34898367803214</c:v>
                </c:pt>
                <c:pt idx="7">
                  <c:v>734.76720285162617</c:v>
                </c:pt>
                <c:pt idx="8">
                  <c:v>778.40280357913196</c:v>
                </c:pt>
                <c:pt idx="9">
                  <c:v>896.14900119224535</c:v>
                </c:pt>
                <c:pt idx="10">
                  <c:v>973.98515701754161</c:v>
                </c:pt>
                <c:pt idx="11">
                  <c:v>1046.0861094106408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41-4E31-9397-48CAAC76F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312960"/>
        <c:axId val="1388314400"/>
      </c:scatterChart>
      <c:valAx>
        <c:axId val="138831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314400"/>
        <c:crosses val="autoZero"/>
        <c:crossBetween val="midCat"/>
      </c:valAx>
      <c:valAx>
        <c:axId val="13883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31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Step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'Big Hammer Tests'!$D$3:$D$14</c:f>
              <c:numCache>
                <c:formatCode>General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  <c:pt idx="4">
                  <c:v>16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  <c:pt idx="8">
                  <c:v>24</c:v>
                </c:pt>
                <c:pt idx="9">
                  <c:v>26</c:v>
                </c:pt>
                <c:pt idx="10">
                  <c:v>28</c:v>
                </c:pt>
                <c:pt idx="11">
                  <c:v>30</c:v>
                </c:pt>
              </c:numCache>
            </c:numRef>
          </c:xVal>
          <c:yVal>
            <c:numRef>
              <c:f>'Big Hammer Tests'!$N$3:$N$14</c:f>
              <c:numCache>
                <c:formatCode>0.000</c:formatCode>
                <c:ptCount val="12"/>
                <c:pt idx="0">
                  <c:v>152.7783361594953</c:v>
                </c:pt>
                <c:pt idx="1">
                  <c:v>247.00305455455344</c:v>
                </c:pt>
                <c:pt idx="2">
                  <c:v>316.49612365566736</c:v>
                </c:pt>
                <c:pt idx="3">
                  <c:v>395.39113821804767</c:v>
                </c:pt>
                <c:pt idx="4">
                  <c:v>478.89425638108133</c:v>
                </c:pt>
                <c:pt idx="5">
                  <c:v>571.59318429029122</c:v>
                </c:pt>
                <c:pt idx="6">
                  <c:v>645.17943824535462</c:v>
                </c:pt>
                <c:pt idx="7">
                  <c:v>722.1841681439314</c:v>
                </c:pt>
                <c:pt idx="8">
                  <c:v>799.99510689615261</c:v>
                </c:pt>
                <c:pt idx="9">
                  <c:v>894.44004685680591</c:v>
                </c:pt>
                <c:pt idx="10">
                  <c:v>953.63419224267682</c:v>
                </c:pt>
                <c:pt idx="11">
                  <c:v>1032.8181359778009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30-4005-AE0B-8EAE13067E18}"/>
            </c:ext>
          </c:extLst>
        </c:ser>
        <c:ser>
          <c:idx val="1"/>
          <c:order val="1"/>
          <c:tx>
            <c:v>2 Steps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'Big Hammer Tests'!$D$18:$D$29</c:f>
              <c:numCache>
                <c:formatCode>General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  <c:pt idx="4">
                  <c:v>16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  <c:pt idx="8">
                  <c:v>24</c:v>
                </c:pt>
                <c:pt idx="9">
                  <c:v>26</c:v>
                </c:pt>
                <c:pt idx="10">
                  <c:v>28</c:v>
                </c:pt>
                <c:pt idx="11">
                  <c:v>30</c:v>
                </c:pt>
              </c:numCache>
            </c:numRef>
          </c:xVal>
          <c:yVal>
            <c:numRef>
              <c:f>'Big Hammer Tests'!$N$18:$N$29</c:f>
              <c:numCache>
                <c:formatCode>General</c:formatCode>
                <c:ptCount val="12"/>
                <c:pt idx="0">
                  <c:v>131.87995959498966</c:v>
                </c:pt>
                <c:pt idx="1">
                  <c:v>227.12926157028105</c:v>
                </c:pt>
                <c:pt idx="2">
                  <c:v>291.15282795657561</c:v>
                </c:pt>
                <c:pt idx="3">
                  <c:v>369.35356209026003</c:v>
                </c:pt>
                <c:pt idx="4">
                  <c:v>482.03324859990306</c:v>
                </c:pt>
                <c:pt idx="5">
                  <c:v>536.14040267043777</c:v>
                </c:pt>
                <c:pt idx="6">
                  <c:v>635.02992289590998</c:v>
                </c:pt>
                <c:pt idx="7">
                  <c:v>698.67310724592687</c:v>
                </c:pt>
                <c:pt idx="8">
                  <c:v>771.96484946615692</c:v>
                </c:pt>
                <c:pt idx="9">
                  <c:v>885.067112695015</c:v>
                </c:pt>
                <c:pt idx="10">
                  <c:v>948.67122470549339</c:v>
                </c:pt>
                <c:pt idx="11">
                  <c:v>1024.1093528029676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30-4005-AE0B-8EAE13067E18}"/>
            </c:ext>
          </c:extLst>
        </c:ser>
        <c:ser>
          <c:idx val="2"/>
          <c:order val="2"/>
          <c:tx>
            <c:v>0 Steps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'Big Hammer Tests'!$D$33:$D$44</c:f>
              <c:numCache>
                <c:formatCode>General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  <c:pt idx="4">
                  <c:v>16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  <c:pt idx="8">
                  <c:v>24</c:v>
                </c:pt>
                <c:pt idx="9">
                  <c:v>26</c:v>
                </c:pt>
                <c:pt idx="10">
                  <c:v>28</c:v>
                </c:pt>
                <c:pt idx="11">
                  <c:v>30</c:v>
                </c:pt>
              </c:numCache>
            </c:numRef>
          </c:xVal>
          <c:yVal>
            <c:numRef>
              <c:f>'Big Hammer Tests'!$N$33:$N$44</c:f>
              <c:numCache>
                <c:formatCode>General</c:formatCode>
                <c:ptCount val="12"/>
                <c:pt idx="0">
                  <c:v>178.33234480536365</c:v>
                </c:pt>
                <c:pt idx="1">
                  <c:v>278.47893661910263</c:v>
                </c:pt>
                <c:pt idx="2">
                  <c:v>334.10502508227108</c:v>
                </c:pt>
                <c:pt idx="3">
                  <c:v>414.32096185933585</c:v>
                </c:pt>
                <c:pt idx="4">
                  <c:v>502.44168873670554</c:v>
                </c:pt>
                <c:pt idx="5">
                  <c:v>562.56699526213663</c:v>
                </c:pt>
                <c:pt idx="6">
                  <c:v>652.34898367803214</c:v>
                </c:pt>
                <c:pt idx="7">
                  <c:v>734.76720285162617</c:v>
                </c:pt>
                <c:pt idx="8">
                  <c:v>778.40280357913196</c:v>
                </c:pt>
                <c:pt idx="9">
                  <c:v>896.14900119224535</c:v>
                </c:pt>
                <c:pt idx="10">
                  <c:v>973.98515701754161</c:v>
                </c:pt>
                <c:pt idx="11">
                  <c:v>1046.0861094106408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30-4005-AE0B-8EAE13067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223327"/>
        <c:axId val="1171222847"/>
      </c:scatterChart>
      <c:valAx>
        <c:axId val="117122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222847"/>
        <c:crosses val="autoZero"/>
        <c:crossBetween val="midCat"/>
      </c:valAx>
      <c:valAx>
        <c:axId val="117122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223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'Max Frequency Test @ 6400'!$A$3:$A$26</c:f>
              <c:numCache>
                <c:formatCode>General</c:formatCode>
                <c:ptCount val="24"/>
                <c:pt idx="0">
                  <c:v>1600</c:v>
                </c:pt>
                <c:pt idx="2">
                  <c:v>4800</c:v>
                </c:pt>
                <c:pt idx="3">
                  <c:v>6400</c:v>
                </c:pt>
                <c:pt idx="4">
                  <c:v>8000</c:v>
                </c:pt>
                <c:pt idx="5">
                  <c:v>9600</c:v>
                </c:pt>
                <c:pt idx="6">
                  <c:v>11200</c:v>
                </c:pt>
                <c:pt idx="7">
                  <c:v>12800</c:v>
                </c:pt>
                <c:pt idx="8">
                  <c:v>14400</c:v>
                </c:pt>
                <c:pt idx="9">
                  <c:v>16000</c:v>
                </c:pt>
                <c:pt idx="10">
                  <c:v>17600</c:v>
                </c:pt>
                <c:pt idx="11">
                  <c:v>19200</c:v>
                </c:pt>
                <c:pt idx="12">
                  <c:v>20800</c:v>
                </c:pt>
                <c:pt idx="13">
                  <c:v>22400</c:v>
                </c:pt>
                <c:pt idx="14">
                  <c:v>24000</c:v>
                </c:pt>
                <c:pt idx="15">
                  <c:v>25600</c:v>
                </c:pt>
                <c:pt idx="16">
                  <c:v>27200</c:v>
                </c:pt>
                <c:pt idx="17">
                  <c:v>28800</c:v>
                </c:pt>
                <c:pt idx="18">
                  <c:v>30400</c:v>
                </c:pt>
                <c:pt idx="19">
                  <c:v>32000</c:v>
                </c:pt>
                <c:pt idx="20">
                  <c:v>33600</c:v>
                </c:pt>
                <c:pt idx="21">
                  <c:v>35200</c:v>
                </c:pt>
                <c:pt idx="22">
                  <c:v>36800</c:v>
                </c:pt>
                <c:pt idx="23">
                  <c:v>38400</c:v>
                </c:pt>
              </c:numCache>
            </c:numRef>
          </c:xVal>
          <c:yVal>
            <c:numRef>
              <c:f>'Max Frequency Test @ 6400'!$E$3:$E$26</c:f>
              <c:numCache>
                <c:formatCode>General</c:formatCode>
                <c:ptCount val="24"/>
                <c:pt idx="0">
                  <c:v>10.531333333333334</c:v>
                </c:pt>
                <c:pt idx="1">
                  <c:v>0</c:v>
                </c:pt>
                <c:pt idx="2">
                  <c:v>49.815666666666665</c:v>
                </c:pt>
                <c:pt idx="3">
                  <c:v>70.637333333333331</c:v>
                </c:pt>
                <c:pt idx="4">
                  <c:v>80.100000000000009</c:v>
                </c:pt>
                <c:pt idx="5">
                  <c:v>96.466666666666683</c:v>
                </c:pt>
                <c:pt idx="6">
                  <c:v>103.25333333333333</c:v>
                </c:pt>
                <c:pt idx="7">
                  <c:v>115.10333333333334</c:v>
                </c:pt>
                <c:pt idx="8">
                  <c:v>126.47666666666667</c:v>
                </c:pt>
                <c:pt idx="9">
                  <c:v>122.06333333333333</c:v>
                </c:pt>
                <c:pt idx="10">
                  <c:v>87.09333333333332</c:v>
                </c:pt>
                <c:pt idx="11">
                  <c:v>91.17</c:v>
                </c:pt>
                <c:pt idx="12">
                  <c:v>92.203333333333319</c:v>
                </c:pt>
                <c:pt idx="13">
                  <c:v>100.88333333333333</c:v>
                </c:pt>
                <c:pt idx="14">
                  <c:v>102.01333333333334</c:v>
                </c:pt>
                <c:pt idx="15">
                  <c:v>106.89666666666665</c:v>
                </c:pt>
                <c:pt idx="16">
                  <c:v>117.78</c:v>
                </c:pt>
                <c:pt idx="17">
                  <c:v>119.80333333333334</c:v>
                </c:pt>
                <c:pt idx="18">
                  <c:v>121.94333333333334</c:v>
                </c:pt>
                <c:pt idx="19">
                  <c:v>126.69666666666666</c:v>
                </c:pt>
                <c:pt idx="20">
                  <c:v>128.11333333333334</c:v>
                </c:pt>
                <c:pt idx="21">
                  <c:v>133.64666666666665</c:v>
                </c:pt>
                <c:pt idx="22">
                  <c:v>129.37333333333333</c:v>
                </c:pt>
                <c:pt idx="23">
                  <c:v>134.64666666666668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31-4557-AD5E-87F29FB68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870255"/>
        <c:axId val="695880335"/>
      </c:scatterChart>
      <c:valAx>
        <c:axId val="6958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80335"/>
        <c:crosses val="autoZero"/>
        <c:crossBetween val="midCat"/>
      </c:valAx>
      <c:valAx>
        <c:axId val="69588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</a:t>
            </a:r>
            <a:r>
              <a:rPr lang="en-US" baseline="0"/>
              <a:t> VS. STEP/SEC (3200 STEP/ROT)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#REF!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Lit>
              <c:ptCount val="15"/>
              <c:pt idx="0">
                <c:v>#REF!</c:v>
              </c:pt>
              <c:pt idx="1">
                <c:v>#REF!</c:v>
              </c:pt>
              <c:pt idx="2">
                <c:v>#REF!</c:v>
              </c:pt>
              <c:pt idx="3">
                <c:v>#REF!</c:v>
              </c:pt>
              <c:pt idx="4">
                <c:v>#REF!</c:v>
              </c:pt>
              <c:pt idx="5">
                <c:v>#REF!</c:v>
              </c:pt>
              <c:pt idx="6">
                <c:v>#REF!</c:v>
              </c:pt>
              <c:pt idx="7">
                <c:v>#REF!</c:v>
              </c:pt>
              <c:pt idx="8">
                <c:v>#REF!</c:v>
              </c:pt>
              <c:pt idx="9">
                <c:v>#REF!</c:v>
              </c:pt>
              <c:pt idx="10">
                <c:v>#REF!</c:v>
              </c:pt>
              <c:pt idx="11">
                <c:v>#REF!</c:v>
              </c:pt>
              <c:pt idx="12">
                <c:v>#REF!</c:v>
              </c:pt>
              <c:pt idx="13">
                <c:v>#REF!</c:v>
              </c:pt>
              <c:pt idx="14">
                <c:v>#REF!</c:v>
              </c:pt>
            </c:strLit>
          </c:xVal>
          <c:yVal>
            <c:numLit>
              <c:formatCode>General</c:formatCode>
              <c:ptCount val="15"/>
            </c:numLit>
          </c:yVal>
          <c:smooth val="0"/>
          <c:extLst>
            <c:ext xmlns:c16="http://schemas.microsoft.com/office/drawing/2014/chart" uri="{C3380CC4-5D6E-409C-BE32-E72D297353CC}">
              <c16:uniqueId val="{00000000-A0E7-4086-B3C2-843448394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937871"/>
        <c:axId val="521943151"/>
      </c:scatterChart>
      <c:valAx>
        <c:axId val="52193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STEP/SEC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943151"/>
        <c:crosses val="autoZero"/>
        <c:crossBetween val="midCat"/>
      </c:valAx>
      <c:valAx>
        <c:axId val="52194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937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1600 steps/rev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7457130358705162"/>
                  <c:y val="2.08398950131233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'Steps per rev adjustments'!$I$24:$I$33</c:f>
                <c:numCache>
                  <c:formatCode>General</c:formatCode>
                  <c:ptCount val="10"/>
                  <c:pt idx="0">
                    <c:v>0.73177366719498727</c:v>
                  </c:pt>
                  <c:pt idx="1">
                    <c:v>2.8971848404960303</c:v>
                  </c:pt>
                  <c:pt idx="2">
                    <c:v>7.3891528607818122</c:v>
                  </c:pt>
                  <c:pt idx="3">
                    <c:v>15.989180091549413</c:v>
                  </c:pt>
                  <c:pt idx="4">
                    <c:v>9.2674176554205197</c:v>
                  </c:pt>
                  <c:pt idx="5">
                    <c:v>6.729399676048379</c:v>
                  </c:pt>
                  <c:pt idx="6">
                    <c:v>3.6330056427151471</c:v>
                  </c:pt>
                  <c:pt idx="7">
                    <c:v>12.289442623650578</c:v>
                  </c:pt>
                  <c:pt idx="8">
                    <c:v>12.624595835114881</c:v>
                  </c:pt>
                  <c:pt idx="9">
                    <c:v>15.043785095513694</c:v>
                  </c:pt>
                </c:numCache>
              </c:numRef>
            </c:plus>
            <c:minus>
              <c:numRef>
                <c:f>'Steps per rev adjustments'!$I$24:$I$33</c:f>
                <c:numCache>
                  <c:formatCode>General</c:formatCode>
                  <c:ptCount val="10"/>
                  <c:pt idx="0">
                    <c:v>0.73177366719498727</c:v>
                  </c:pt>
                  <c:pt idx="1">
                    <c:v>2.8971848404960303</c:v>
                  </c:pt>
                  <c:pt idx="2">
                    <c:v>7.3891528607818122</c:v>
                  </c:pt>
                  <c:pt idx="3">
                    <c:v>15.989180091549413</c:v>
                  </c:pt>
                  <c:pt idx="4">
                    <c:v>9.2674176554205197</c:v>
                  </c:pt>
                  <c:pt idx="5">
                    <c:v>6.729399676048379</c:v>
                  </c:pt>
                  <c:pt idx="6">
                    <c:v>3.6330056427151471</c:v>
                  </c:pt>
                  <c:pt idx="7">
                    <c:v>12.289442623650578</c:v>
                  </c:pt>
                  <c:pt idx="8">
                    <c:v>12.624595835114881</c:v>
                  </c:pt>
                  <c:pt idx="9">
                    <c:v>15.043785095513694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'Steps per rev adjustments'!$B$24:$B$33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'Steps per rev adjustments'!$H$24:$H$33</c:f>
              <c:numCache>
                <c:formatCode>General</c:formatCode>
                <c:ptCount val="10"/>
                <c:pt idx="0">
                  <c:v>86.03779999999999</c:v>
                </c:pt>
                <c:pt idx="1">
                  <c:v>161.69400000000002</c:v>
                </c:pt>
                <c:pt idx="2">
                  <c:v>241.32400000000001</c:v>
                </c:pt>
                <c:pt idx="3">
                  <c:v>304.75400000000002</c:v>
                </c:pt>
                <c:pt idx="4">
                  <c:v>350.084</c:v>
                </c:pt>
                <c:pt idx="5">
                  <c:v>390.30199999999996</c:v>
                </c:pt>
                <c:pt idx="6">
                  <c:v>437.07600000000002</c:v>
                </c:pt>
                <c:pt idx="7">
                  <c:v>473.66999999999996</c:v>
                </c:pt>
                <c:pt idx="8">
                  <c:v>508.15200000000004</c:v>
                </c:pt>
                <c:pt idx="9">
                  <c:v>543.16200000000003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42-45C6-8CB7-2F7DDE3F5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863328"/>
        <c:axId val="437873408"/>
      </c:scatterChart>
      <c:valAx>
        <c:axId val="43786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873408"/>
        <c:crosses val="autoZero"/>
        <c:crossBetween val="midCat"/>
      </c:valAx>
      <c:valAx>
        <c:axId val="43787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86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800 steps/rev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8421237970253721"/>
                  <c:y val="-7.129265091863516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'Steps per rev adjustments'!$I$13:$I$22</c:f>
                <c:numCache>
                  <c:formatCode>General</c:formatCode>
                  <c:ptCount val="10"/>
                  <c:pt idx="0">
                    <c:v>11.11547434885245</c:v>
                  </c:pt>
                  <c:pt idx="1">
                    <c:v>9.1178632365264232</c:v>
                  </c:pt>
                  <c:pt idx="2">
                    <c:v>10.334537725510506</c:v>
                  </c:pt>
                  <c:pt idx="3">
                    <c:v>6.4270187490001929</c:v>
                  </c:pt>
                  <c:pt idx="4">
                    <c:v>4.8134779525827218</c:v>
                  </c:pt>
                  <c:pt idx="5">
                    <c:v>43.15859728953199</c:v>
                  </c:pt>
                  <c:pt idx="6">
                    <c:v>9.0050513602089044</c:v>
                  </c:pt>
                  <c:pt idx="7">
                    <c:v>16.078981621980937</c:v>
                  </c:pt>
                  <c:pt idx="8">
                    <c:v>11.312251323233591</c:v>
                  </c:pt>
                  <c:pt idx="9">
                    <c:v>11.197123291274437</c:v>
                  </c:pt>
                </c:numCache>
              </c:numRef>
            </c:plus>
            <c:minus>
              <c:numRef>
                <c:f>'Steps per rev adjustments'!$I$13:$I$22</c:f>
                <c:numCache>
                  <c:formatCode>General</c:formatCode>
                  <c:ptCount val="10"/>
                  <c:pt idx="0">
                    <c:v>11.11547434885245</c:v>
                  </c:pt>
                  <c:pt idx="1">
                    <c:v>9.1178632365264232</c:v>
                  </c:pt>
                  <c:pt idx="2">
                    <c:v>10.334537725510506</c:v>
                  </c:pt>
                  <c:pt idx="3">
                    <c:v>6.4270187490001929</c:v>
                  </c:pt>
                  <c:pt idx="4">
                    <c:v>4.8134779525827218</c:v>
                  </c:pt>
                  <c:pt idx="5">
                    <c:v>43.15859728953199</c:v>
                  </c:pt>
                  <c:pt idx="6">
                    <c:v>9.0050513602089044</c:v>
                  </c:pt>
                  <c:pt idx="7">
                    <c:v>16.078981621980937</c:v>
                  </c:pt>
                  <c:pt idx="8">
                    <c:v>11.312251323233591</c:v>
                  </c:pt>
                  <c:pt idx="9">
                    <c:v>11.197123291274437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'Steps per rev adjustments'!$B$13:$B$22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'Steps per rev adjustments'!$H$13:$H$22</c:f>
              <c:numCache>
                <c:formatCode>General</c:formatCode>
                <c:ptCount val="10"/>
                <c:pt idx="0">
                  <c:v>91.738000000000014</c:v>
                </c:pt>
                <c:pt idx="1">
                  <c:v>184.08599999999998</c:v>
                </c:pt>
                <c:pt idx="2">
                  <c:v>292.28199999999998</c:v>
                </c:pt>
                <c:pt idx="3">
                  <c:v>402.65800000000002</c:v>
                </c:pt>
                <c:pt idx="4">
                  <c:v>494.52199999999993</c:v>
                </c:pt>
                <c:pt idx="5">
                  <c:v>593.50200000000007</c:v>
                </c:pt>
                <c:pt idx="6">
                  <c:v>655.02</c:v>
                </c:pt>
                <c:pt idx="7">
                  <c:v>718.68999999999994</c:v>
                </c:pt>
                <c:pt idx="8">
                  <c:v>799.60599999999999</c:v>
                </c:pt>
                <c:pt idx="9">
                  <c:v>867.42800000000011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FE-40B0-818A-07AFD7CC4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541360"/>
        <c:axId val="448548560"/>
      </c:scatterChart>
      <c:valAx>
        <c:axId val="44854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48560"/>
        <c:crosses val="autoZero"/>
        <c:crossBetween val="midCat"/>
      </c:valAx>
      <c:valAx>
        <c:axId val="44854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4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 Output</a:t>
            </a:r>
            <a:r>
              <a:rPr lang="en-US" baseline="0"/>
              <a:t> vs Velocity at 3200 steps per revolution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42198797025371826"/>
                  <c:y val="-1.009259259259259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F = -4.0313F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+ 75.37F</a:t>
                    </a:r>
                    <a:br>
                      <a:rPr lang="en-US" baseline="0"/>
                    </a:br>
                    <a:r>
                      <a:rPr lang="en-US" baseline="0"/>
                      <a:t>R² = 0.991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'Steps per rev adjustments'!$I$35:$I$44</c:f>
                <c:numCache>
                  <c:formatCode>General</c:formatCode>
                  <c:ptCount val="10"/>
                  <c:pt idx="0">
                    <c:v>1.0452197376628523</c:v>
                  </c:pt>
                  <c:pt idx="1">
                    <c:v>5.8525823360291147</c:v>
                  </c:pt>
                  <c:pt idx="2">
                    <c:v>18.447565693066391</c:v>
                  </c:pt>
                  <c:pt idx="3">
                    <c:v>5.2511398762554391</c:v>
                  </c:pt>
                  <c:pt idx="4">
                    <c:v>2.3626298906091887</c:v>
                  </c:pt>
                  <c:pt idx="5">
                    <c:v>1.7511139311877906</c:v>
                  </c:pt>
                  <c:pt idx="6">
                    <c:v>2.3305042372842801</c:v>
                  </c:pt>
                  <c:pt idx="7">
                    <c:v>8.0122861905950362</c:v>
                  </c:pt>
                  <c:pt idx="8">
                    <c:v>5.2994877110905678</c:v>
                  </c:pt>
                  <c:pt idx="9">
                    <c:v>7.0563786746460631</c:v>
                  </c:pt>
                </c:numCache>
              </c:numRef>
            </c:plus>
            <c:minus>
              <c:numRef>
                <c:f>'Steps per rev adjustments'!$I$35:$I$44</c:f>
                <c:numCache>
                  <c:formatCode>General</c:formatCode>
                  <c:ptCount val="10"/>
                  <c:pt idx="0">
                    <c:v>1.0452197376628523</c:v>
                  </c:pt>
                  <c:pt idx="1">
                    <c:v>5.8525823360291147</c:v>
                  </c:pt>
                  <c:pt idx="2">
                    <c:v>18.447565693066391</c:v>
                  </c:pt>
                  <c:pt idx="3">
                    <c:v>5.2511398762554391</c:v>
                  </c:pt>
                  <c:pt idx="4">
                    <c:v>2.3626298906091887</c:v>
                  </c:pt>
                  <c:pt idx="5">
                    <c:v>1.7511139311877906</c:v>
                  </c:pt>
                  <c:pt idx="6">
                    <c:v>2.3305042372842801</c:v>
                  </c:pt>
                  <c:pt idx="7">
                    <c:v>8.0122861905950362</c:v>
                  </c:pt>
                  <c:pt idx="8">
                    <c:v>5.2994877110905678</c:v>
                  </c:pt>
                  <c:pt idx="9">
                    <c:v>7.0563786746460631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'Steps per rev adjustments'!$B$35:$B$44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'Steps per rev adjustments'!$H$35:$H$44</c:f>
              <c:numCache>
                <c:formatCode>General</c:formatCode>
                <c:ptCount val="10"/>
                <c:pt idx="0">
                  <c:v>94.616599999999991</c:v>
                </c:pt>
                <c:pt idx="1">
                  <c:v>138.52199999999999</c:v>
                </c:pt>
                <c:pt idx="2">
                  <c:v>191.56400000000002</c:v>
                </c:pt>
                <c:pt idx="3">
                  <c:v>246.65199999999999</c:v>
                </c:pt>
                <c:pt idx="4">
                  <c:v>278.32800000000003</c:v>
                </c:pt>
                <c:pt idx="5">
                  <c:v>298.67</c:v>
                </c:pt>
                <c:pt idx="6">
                  <c:v>317.87</c:v>
                </c:pt>
                <c:pt idx="7">
                  <c:v>336.98400000000004</c:v>
                </c:pt>
                <c:pt idx="8">
                  <c:v>350.47200000000004</c:v>
                </c:pt>
                <c:pt idx="9">
                  <c:v>363.07400000000001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30-46F0-8022-6C8CC149D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71232"/>
        <c:axId val="24472672"/>
      </c:scatterChart>
      <c:valAx>
        <c:axId val="2447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</a:t>
                </a:r>
                <a:r>
                  <a:rPr lang="en-US" baseline="0"/>
                  <a:t>  V (rev/s)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72672"/>
        <c:crosses val="autoZero"/>
        <c:crossBetween val="midCat"/>
      </c:valAx>
      <c:valAx>
        <c:axId val="244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</a:t>
                </a:r>
                <a:r>
                  <a:rPr lang="en-US" baseline="0"/>
                  <a:t> Output  F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7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800</a:t>
            </a:r>
            <a:r>
              <a:rPr lang="en-US" baseline="0"/>
              <a:t> steps/rev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'Steps per rev adjustments'!$B$13:$B$22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'Steps per rev adjustments'!$I$13:$I$22</c:f>
              <c:numCache>
                <c:formatCode>General</c:formatCode>
                <c:ptCount val="10"/>
                <c:pt idx="0">
                  <c:v>11.11547434885245</c:v>
                </c:pt>
                <c:pt idx="1">
                  <c:v>9.1178632365264232</c:v>
                </c:pt>
                <c:pt idx="2">
                  <c:v>10.334537725510506</c:v>
                </c:pt>
                <c:pt idx="3">
                  <c:v>6.4270187490001929</c:v>
                </c:pt>
                <c:pt idx="4">
                  <c:v>4.8134779525827218</c:v>
                </c:pt>
                <c:pt idx="5">
                  <c:v>43.15859728953199</c:v>
                </c:pt>
                <c:pt idx="6">
                  <c:v>9.0050513602089044</c:v>
                </c:pt>
                <c:pt idx="7">
                  <c:v>16.078981621980937</c:v>
                </c:pt>
                <c:pt idx="8">
                  <c:v>11.312251323233591</c:v>
                </c:pt>
                <c:pt idx="9">
                  <c:v>11.197123291274437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9E-4460-A97D-DE7CD4B7A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505951"/>
        <c:axId val="988504031"/>
      </c:scatterChart>
      <c:valAx>
        <c:axId val="98850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(rev/s)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504031"/>
        <c:crosses val="autoZero"/>
        <c:crossBetween val="midCat"/>
      </c:valAx>
      <c:valAx>
        <c:axId val="98850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505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1600</a:t>
            </a:r>
            <a:r>
              <a:rPr lang="en-US" baseline="0"/>
              <a:t> steps/rev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'Steps per rev adjustments'!$B$24:$B$33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'Steps per rev adjustments'!$I$24:$I$33</c:f>
              <c:numCache>
                <c:formatCode>General</c:formatCode>
                <c:ptCount val="10"/>
                <c:pt idx="0">
                  <c:v>0.73177366719498727</c:v>
                </c:pt>
                <c:pt idx="1">
                  <c:v>2.8971848404960303</c:v>
                </c:pt>
                <c:pt idx="2">
                  <c:v>7.3891528607818122</c:v>
                </c:pt>
                <c:pt idx="3">
                  <c:v>15.989180091549413</c:v>
                </c:pt>
                <c:pt idx="4">
                  <c:v>9.2674176554205197</c:v>
                </c:pt>
                <c:pt idx="5">
                  <c:v>6.729399676048379</c:v>
                </c:pt>
                <c:pt idx="6">
                  <c:v>3.6330056427151471</c:v>
                </c:pt>
                <c:pt idx="7">
                  <c:v>12.289442623650578</c:v>
                </c:pt>
                <c:pt idx="8">
                  <c:v>12.624595835114881</c:v>
                </c:pt>
                <c:pt idx="9">
                  <c:v>15.043785095513694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9E-4460-A97D-DE7CD4B7A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505951"/>
        <c:axId val="988504031"/>
      </c:scatterChart>
      <c:valAx>
        <c:axId val="98850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(rev/s)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504031"/>
        <c:crosses val="autoZero"/>
        <c:crossBetween val="midCat"/>
      </c:valAx>
      <c:valAx>
        <c:axId val="98850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505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3200</a:t>
            </a:r>
            <a:r>
              <a:rPr lang="en-US" baseline="0"/>
              <a:t> steps/rev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'Steps per rev adjustments'!$B$35:$B$44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'Steps per rev adjustments'!$I$35:$I$44</c:f>
              <c:numCache>
                <c:formatCode>General</c:formatCode>
                <c:ptCount val="10"/>
                <c:pt idx="0">
                  <c:v>1.0452197376628523</c:v>
                </c:pt>
                <c:pt idx="1">
                  <c:v>5.8525823360291147</c:v>
                </c:pt>
                <c:pt idx="2">
                  <c:v>18.447565693066391</c:v>
                </c:pt>
                <c:pt idx="3">
                  <c:v>5.2511398762554391</c:v>
                </c:pt>
                <c:pt idx="4">
                  <c:v>2.3626298906091887</c:v>
                </c:pt>
                <c:pt idx="5">
                  <c:v>1.7511139311877906</c:v>
                </c:pt>
                <c:pt idx="6">
                  <c:v>2.3305042372842801</c:v>
                </c:pt>
                <c:pt idx="7">
                  <c:v>8.0122861905950362</c:v>
                </c:pt>
                <c:pt idx="8">
                  <c:v>5.2994877110905678</c:v>
                </c:pt>
                <c:pt idx="9">
                  <c:v>7.0563786746460631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9E-4460-A97D-DE7CD4B7A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505951"/>
        <c:axId val="988504031"/>
      </c:scatterChart>
      <c:valAx>
        <c:axId val="98850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(rev/s)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504031"/>
        <c:crosses val="autoZero"/>
        <c:crossBetween val="midCat"/>
      </c:valAx>
      <c:valAx>
        <c:axId val="98850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505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514350</xdr:colOff>
      <xdr:row>0</xdr:row>
      <xdr:rowOff>66675</xdr:rowOff>
    </xdr:from>
    <xdr:to>
      <xdr:col>18</xdr:col>
      <xdr:colOff>209550</xdr:colOff>
      <xdr:row>14</xdr:row>
      <xdr:rowOff>142875</xdr:rowOff>
    </xdr:to>
    <xdr:graphicFrame macro="">
      <xdr:nvGraphicFramePr>
        <xdr:cNvPr id="3" name="Chart 2" descr="Chart type: Scatter. 'Average'&#10;&#10;Description automatically generated">
          <a:extLst>
            <a:ext uri="{FF2B5EF4-FFF2-40B4-BE49-F238E27FC236}">
              <a16:creationId xmlns:a16="http://schemas.microsoft.com/office/drawing/2014/main" id="{E2FDEA33-0874-A802-53BB-A65AF1D43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15</xdr:row>
      <xdr:rowOff>0</xdr:rowOff>
    </xdr:from>
    <xdr:to>
      <xdr:col>18</xdr:col>
      <xdr:colOff>314325</xdr:colOff>
      <xdr:row>29</xdr:row>
      <xdr:rowOff>76200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BFF020B-C617-6FA7-CF10-4E791EBD07F5}"/>
            </a:ext>
            <a:ext uri="{147F2762-F138-4A5C-976F-8EAC2B608ADB}">
              <a16:predDERef xmlns:a16="http://schemas.microsoft.com/office/drawing/2014/main" pred="{E2FDEA33-0874-A802-53BB-A65AF1D43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19050</xdr:colOff>
      <xdr:row>29</xdr:row>
      <xdr:rowOff>85725</xdr:rowOff>
    </xdr:from>
    <xdr:to>
      <xdr:col>18</xdr:col>
      <xdr:colOff>323850</xdr:colOff>
      <xdr:row>43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759E8-7CF5-4EA2-21EC-AB2351546F78}"/>
            </a:ext>
            <a:ext uri="{147F2762-F138-4A5C-976F-8EAC2B608ADB}">
              <a16:predDERef xmlns:a16="http://schemas.microsoft.com/office/drawing/2014/main" pred="{0BFF020B-C617-6FA7-CF10-4E791EBD0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586740</xdr:colOff>
      <xdr:row>44</xdr:row>
      <xdr:rowOff>163830</xdr:rowOff>
    </xdr:from>
    <xdr:to>
      <xdr:col>18</xdr:col>
      <xdr:colOff>281940</xdr:colOff>
      <xdr:row>59</xdr:row>
      <xdr:rowOff>163830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CF9885-305B-7B35-98DF-A2B69BE16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60</xdr:row>
      <xdr:rowOff>171450</xdr:rowOff>
    </xdr:from>
    <xdr:to>
      <xdr:col>18</xdr:col>
      <xdr:colOff>304800</xdr:colOff>
      <xdr:row>75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C736B5-FE0D-92F5-4E60-4AA57D92A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257175</xdr:colOff>
      <xdr:row>0</xdr:row>
      <xdr:rowOff>108238</xdr:rowOff>
    </xdr:from>
    <xdr:to>
      <xdr:col>23</xdr:col>
      <xdr:colOff>470189</xdr:colOff>
      <xdr:row>14</xdr:row>
      <xdr:rowOff>150668</xdr:rowOff>
    </xdr:to>
    <xdr:graphicFrame macro="">
      <xdr:nvGraphicFramePr>
        <xdr:cNvPr id="88" name="Chart 4">
          <a:extLst>
            <a:ext uri="{FF2B5EF4-FFF2-40B4-BE49-F238E27FC236}">
              <a16:creationId xmlns:a16="http://schemas.microsoft.com/office/drawing/2014/main" id="{C580C1C9-B02B-8E2B-1A89-AB3D1AB4B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246784</xdr:colOff>
      <xdr:row>15</xdr:row>
      <xdr:rowOff>99580</xdr:rowOff>
    </xdr:from>
    <xdr:to>
      <xdr:col>23</xdr:col>
      <xdr:colOff>551584</xdr:colOff>
      <xdr:row>29</xdr:row>
      <xdr:rowOff>134217</xdr:rowOff>
    </xdr:to>
    <xdr:graphicFrame macro="">
      <xdr:nvGraphicFramePr>
        <xdr:cNvPr id="71" name="Chart 6">
          <a:extLst>
            <a:ext uri="{FF2B5EF4-FFF2-40B4-BE49-F238E27FC236}">
              <a16:creationId xmlns:a16="http://schemas.microsoft.com/office/drawing/2014/main" id="{5E8DEBDF-275F-34BF-3599-7B8F288B7AA2}"/>
            </a:ext>
            <a:ext uri="{147F2762-F138-4A5C-976F-8EAC2B608ADB}">
              <a16:predDERef xmlns:a16="http://schemas.microsoft.com/office/drawing/2014/main" pred="{C580C1C9-B02B-8E2B-1A89-AB3D1AB4B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133350</xdr:colOff>
      <xdr:row>30</xdr:row>
      <xdr:rowOff>143741</xdr:rowOff>
    </xdr:from>
    <xdr:to>
      <xdr:col>23</xdr:col>
      <xdr:colOff>374073</xdr:colOff>
      <xdr:row>44</xdr:row>
      <xdr:rowOff>175780</xdr:rowOff>
    </xdr:to>
    <xdr:graphicFrame macro="">
      <xdr:nvGraphicFramePr>
        <xdr:cNvPr id="82" name="Chart 10">
          <a:extLst>
            <a:ext uri="{FF2B5EF4-FFF2-40B4-BE49-F238E27FC236}">
              <a16:creationId xmlns:a16="http://schemas.microsoft.com/office/drawing/2014/main" id="{E7D38E6F-4518-8DE4-3897-F15A8619C613}"/>
            </a:ext>
            <a:ext uri="{147F2762-F138-4A5C-976F-8EAC2B608ADB}">
              <a16:predDERef xmlns:a16="http://schemas.microsoft.com/office/drawing/2014/main" pred="{5E8DEBDF-275F-34BF-3599-7B8F288B7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123010</xdr:colOff>
      <xdr:row>45</xdr:row>
      <xdr:rowOff>157468</xdr:rowOff>
    </xdr:from>
    <xdr:to>
      <xdr:col>23</xdr:col>
      <xdr:colOff>268083</xdr:colOff>
      <xdr:row>60</xdr:row>
      <xdr:rowOff>173664</xdr:rowOff>
    </xdr:to>
    <xdr:graphicFrame macro="">
      <xdr:nvGraphicFramePr>
        <xdr:cNvPr id="89" name="Chart 11">
          <a:extLst>
            <a:ext uri="{FF2B5EF4-FFF2-40B4-BE49-F238E27FC236}">
              <a16:creationId xmlns:a16="http://schemas.microsoft.com/office/drawing/2014/main" id="{A613A3DE-2484-F1B5-C3C1-49BB3EE1A8A3}"/>
            </a:ext>
            <a:ext uri="{147F2762-F138-4A5C-976F-8EAC2B608ADB}">
              <a16:predDERef xmlns:a16="http://schemas.microsoft.com/office/drawing/2014/main" pred="{E7D38E6F-4518-8DE4-3897-F15A8619C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9</xdr:row>
      <xdr:rowOff>163830</xdr:rowOff>
    </xdr:from>
    <xdr:to>
      <xdr:col>15</xdr:col>
      <xdr:colOff>228600</xdr:colOff>
      <xdr:row>24</xdr:row>
      <xdr:rowOff>163830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D0056E6-F38D-86ED-AF73-109E3FC02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490220</xdr:colOff>
      <xdr:row>0</xdr:row>
      <xdr:rowOff>140970</xdr:rowOff>
    </xdr:from>
    <xdr:to>
      <xdr:col>17</xdr:col>
      <xdr:colOff>185420</xdr:colOff>
      <xdr:row>15</xdr:row>
      <xdr:rowOff>140970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8EF4D2D-AC7E-4B7E-9804-42FDAE3CE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225425</xdr:colOff>
      <xdr:row>20</xdr:row>
      <xdr:rowOff>19050</xdr:rowOff>
    </xdr:from>
    <xdr:to>
      <xdr:col>18</xdr:col>
      <xdr:colOff>530225</xdr:colOff>
      <xdr:row>35</xdr:row>
      <xdr:rowOff>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13096B78-462B-8C86-D0B8-CFF8804A3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257175</xdr:colOff>
      <xdr:row>4</xdr:row>
      <xdr:rowOff>120650</xdr:rowOff>
    </xdr:from>
    <xdr:to>
      <xdr:col>18</xdr:col>
      <xdr:colOff>561975</xdr:colOff>
      <xdr:row>19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8382C5-00ED-4A0A-0A34-6A2A45CEAEF0}"/>
            </a:ext>
            <a:ext uri="{147F2762-F138-4A5C-976F-8EAC2B608ADB}">
              <a16:predDERef xmlns:a16="http://schemas.microsoft.com/office/drawing/2014/main" pred="{13096B78-462B-8C86-D0B8-CFF8804A3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358775</xdr:colOff>
      <xdr:row>36</xdr:row>
      <xdr:rowOff>19050</xdr:rowOff>
    </xdr:from>
    <xdr:to>
      <xdr:col>19</xdr:col>
      <xdr:colOff>53975</xdr:colOff>
      <xdr:row>51</xdr:row>
      <xdr:rowOff>0</xdr:rowOff>
    </xdr:to>
    <xdr:graphicFrame macro="">
      <xdr:nvGraphicFramePr>
        <xdr:cNvPr id="188" name="Chart 5">
          <a:extLst>
            <a:ext uri="{FF2B5EF4-FFF2-40B4-BE49-F238E27FC236}">
              <a16:creationId xmlns:a16="http://schemas.microsoft.com/office/drawing/2014/main" id="{41A72DC2-D884-4D18-7B60-A971906EB539}"/>
            </a:ext>
            <a:ext uri="{147F2762-F138-4A5C-976F-8EAC2B608ADB}">
              <a16:predDERef xmlns:a16="http://schemas.microsoft.com/office/drawing/2014/main" pred="{648382C5-00ED-4A0A-0A34-6A2A45CEA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411480</xdr:colOff>
      <xdr:row>4</xdr:row>
      <xdr:rowOff>125730</xdr:rowOff>
    </xdr:from>
    <xdr:to>
      <xdr:col>27</xdr:col>
      <xdr:colOff>106680</xdr:colOff>
      <xdr:row>19</xdr:row>
      <xdr:rowOff>125730</xdr:rowOff>
    </xdr:to>
    <xdr:graphicFrame macro="">
      <xdr:nvGraphicFramePr>
        <xdr:cNvPr id="158" name="Chart 157">
          <a:extLst>
            <a:ext uri="{FF2B5EF4-FFF2-40B4-BE49-F238E27FC236}">
              <a16:creationId xmlns:a16="http://schemas.microsoft.com/office/drawing/2014/main" id="{D6230E66-5396-39A9-B596-D269E2C1DABE}"/>
            </a:ext>
            <a:ext uri="{147F2762-F138-4A5C-976F-8EAC2B608ADB}">
              <a16:predDERef xmlns:a16="http://schemas.microsoft.com/office/drawing/2014/main" pred="{41A72DC2-D884-4D18-7B60-A971906EB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434340</xdr:colOff>
      <xdr:row>20</xdr:row>
      <xdr:rowOff>41910</xdr:rowOff>
    </xdr:from>
    <xdr:to>
      <xdr:col>27</xdr:col>
      <xdr:colOff>129540</xdr:colOff>
      <xdr:row>35</xdr:row>
      <xdr:rowOff>41910</xdr:rowOff>
    </xdr:to>
    <xdr:graphicFrame macro="">
      <xdr:nvGraphicFramePr>
        <xdr:cNvPr id="159" name="Chart 158">
          <a:extLst>
            <a:ext uri="{FF2B5EF4-FFF2-40B4-BE49-F238E27FC236}">
              <a16:creationId xmlns:a16="http://schemas.microsoft.com/office/drawing/2014/main" id="{494EFCC0-7B2A-0137-7A52-D603FC1802CE}"/>
            </a:ext>
            <a:ext uri="{147F2762-F138-4A5C-976F-8EAC2B608ADB}">
              <a16:predDERef xmlns:a16="http://schemas.microsoft.com/office/drawing/2014/main" pred="{D6230E66-5396-39A9-B596-D269E2C1D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418127</xdr:colOff>
      <xdr:row>36</xdr:row>
      <xdr:rowOff>73687</xdr:rowOff>
    </xdr:from>
    <xdr:to>
      <xdr:col>27</xdr:col>
      <xdr:colOff>113327</xdr:colOff>
      <xdr:row>51</xdr:row>
      <xdr:rowOff>73687</xdr:rowOff>
    </xdr:to>
    <xdr:graphicFrame macro="">
      <xdr:nvGraphicFramePr>
        <xdr:cNvPr id="160" name="Chart 159">
          <a:extLst>
            <a:ext uri="{FF2B5EF4-FFF2-40B4-BE49-F238E27FC236}">
              <a16:creationId xmlns:a16="http://schemas.microsoft.com/office/drawing/2014/main" id="{D029F3CE-B066-D819-FD0A-1238498343BB}"/>
            </a:ext>
            <a:ext uri="{147F2762-F138-4A5C-976F-8EAC2B608ADB}">
              <a16:predDERef xmlns:a16="http://schemas.microsoft.com/office/drawing/2014/main" pred="{494EFCC0-7B2A-0137-7A52-D603FC180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sparkfun-electronics/09387/5993849" TargetMode="External"/><Relationship Id="rId2" Type="http://schemas.openxmlformats.org/officeDocument/2006/relationships/hyperlink" Target="https://www.digikey.com/en/products/detail/seeed-technology-co-ltd/114992565/13635853?gclsrc=aw.ds&amp;gad_source=1&amp;gad_campaignid=20243136172&amp;gbraid=0AAAAADrbLlihVj4K8yFeuroc6Bo3VfvP-&amp;gclid=CjwKCAiAv5bMBhAIEiwAqP9GuK3dkkd3yLwZgDn0ni2t0Ah3fUn-6KDSlx6YVf9s3tTlqBLTRBdLAxoCrKIQAvD_BwE" TargetMode="External"/><Relationship Id="rId1" Type="http://schemas.openxmlformats.org/officeDocument/2006/relationships/hyperlink" Target="https://www.digikey.com/en/products/detail/amphenol-rf/31-9-RFX/10065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E66F-A1E3-4E96-8DE0-653A2393FBC6}">
  <dimension ref="A1:X67"/>
  <sheetViews>
    <sheetView topLeftCell="A36" zoomScale="83" workbookViewId="0">
      <selection activeCell="I51" sqref="I51"/>
    </sheetView>
  </sheetViews>
  <sheetFormatPr defaultColWidth="8.88671875" defaultRowHeight="15.6"/>
  <cols>
    <col min="1" max="1" width="21.109375" style="26" customWidth="1"/>
    <col min="2" max="2" width="14.109375" style="25" customWidth="1"/>
    <col min="3" max="3" width="25.109375" style="31" customWidth="1"/>
    <col min="4" max="4" width="27.109375" style="31" customWidth="1"/>
    <col min="5" max="5" width="14.33203125" style="25" customWidth="1"/>
    <col min="6" max="6" width="6.88671875" style="26" customWidth="1"/>
    <col min="7" max="7" width="16.33203125" style="27" customWidth="1"/>
    <col min="8" max="8" width="45.88671875" style="25" customWidth="1"/>
    <col min="12" max="12" width="13.88671875" customWidth="1"/>
  </cols>
  <sheetData>
    <row r="1" spans="1:24" ht="36.6">
      <c r="A1" s="40" t="s">
        <v>0</v>
      </c>
      <c r="B1" s="40"/>
      <c r="C1" s="41"/>
      <c r="D1" s="40"/>
      <c r="E1" s="40"/>
      <c r="F1" s="40"/>
      <c r="G1" s="40"/>
      <c r="H1" s="40"/>
      <c r="I1" s="5"/>
      <c r="J1" s="5"/>
      <c r="K1" s="5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>
      <c r="A2" s="7"/>
      <c r="B2" s="8"/>
      <c r="C2" s="32"/>
      <c r="D2" s="32"/>
      <c r="E2" s="8"/>
      <c r="F2" s="10"/>
      <c r="G2" s="9"/>
      <c r="H2" s="8"/>
      <c r="I2" s="11"/>
      <c r="J2" s="11" t="s">
        <v>1</v>
      </c>
      <c r="K2" s="12" t="s">
        <v>2</v>
      </c>
      <c r="L2" s="13" t="s">
        <v>3</v>
      </c>
      <c r="M2" s="11"/>
      <c r="N2" s="12" t="s">
        <v>4</v>
      </c>
      <c r="O2" s="13" t="s">
        <v>5</v>
      </c>
      <c r="P2" s="5"/>
      <c r="Q2" s="5"/>
      <c r="R2" s="5"/>
      <c r="S2" s="5"/>
      <c r="T2" s="5"/>
      <c r="U2" s="5"/>
      <c r="V2" s="5"/>
      <c r="W2" s="5"/>
      <c r="X2" s="5"/>
    </row>
    <row r="3" spans="1:24">
      <c r="A3" s="7"/>
      <c r="B3" s="8"/>
      <c r="C3" s="32"/>
      <c r="D3" s="32"/>
      <c r="E3" s="8"/>
      <c r="F3" s="10"/>
      <c r="G3" s="9"/>
      <c r="H3" s="8"/>
      <c r="I3" s="11"/>
      <c r="J3" s="11"/>
      <c r="K3" s="12" t="s">
        <v>6</v>
      </c>
      <c r="L3" s="13" t="s">
        <v>7</v>
      </c>
      <c r="M3" s="11"/>
      <c r="N3" s="12" t="s">
        <v>8</v>
      </c>
      <c r="O3" s="13" t="s">
        <v>9</v>
      </c>
      <c r="P3" s="5"/>
      <c r="Q3" s="5"/>
      <c r="R3" s="5"/>
      <c r="S3" s="5"/>
      <c r="T3" s="5"/>
      <c r="U3" s="5"/>
      <c r="V3" s="5"/>
      <c r="W3" s="5"/>
      <c r="X3" s="5"/>
    </row>
    <row r="4" spans="1:24" s="19" customFormat="1" ht="18">
      <c r="A4" s="15" t="s">
        <v>10</v>
      </c>
      <c r="B4" s="15" t="s">
        <v>11</v>
      </c>
      <c r="C4" s="16" t="s">
        <v>12</v>
      </c>
      <c r="D4" s="16" t="s">
        <v>13</v>
      </c>
      <c r="E4" s="15" t="s">
        <v>14</v>
      </c>
      <c r="F4" s="15" t="s">
        <v>15</v>
      </c>
      <c r="G4" s="16" t="s">
        <v>16</v>
      </c>
      <c r="H4" s="15" t="s">
        <v>17</v>
      </c>
      <c r="I4" s="17"/>
      <c r="J4" s="17"/>
      <c r="K4" s="17"/>
      <c r="L4" s="17"/>
      <c r="M4" s="17"/>
      <c r="N4" s="18"/>
      <c r="O4" s="18"/>
      <c r="P4" s="17"/>
      <c r="Q4" s="17"/>
      <c r="R4" s="17"/>
      <c r="S4" s="17"/>
      <c r="T4" s="17"/>
      <c r="U4" s="17"/>
      <c r="V4" s="17"/>
      <c r="W4" s="17"/>
      <c r="X4" s="17"/>
    </row>
    <row r="5" spans="1:24" s="4" customFormat="1" ht="46.8">
      <c r="A5" s="20" t="s">
        <v>18</v>
      </c>
      <c r="B5" s="20"/>
      <c r="C5" s="31" t="s">
        <v>19</v>
      </c>
      <c r="D5" s="35"/>
      <c r="E5" s="7"/>
      <c r="F5" s="7"/>
      <c r="G5" s="9" t="s">
        <v>20</v>
      </c>
      <c r="H5" s="8" t="s">
        <v>21</v>
      </c>
      <c r="I5" s="12"/>
      <c r="J5" s="12"/>
      <c r="K5" s="12"/>
      <c r="L5" s="12"/>
      <c r="M5" s="12"/>
      <c r="N5" s="21"/>
      <c r="O5" s="21"/>
      <c r="P5" s="22"/>
      <c r="Q5" s="22"/>
      <c r="R5" s="22"/>
      <c r="S5" s="22"/>
      <c r="T5" s="22"/>
      <c r="U5" s="22"/>
      <c r="V5" s="22"/>
      <c r="W5" s="22"/>
      <c r="X5" s="22"/>
    </row>
    <row r="6" spans="1:24" ht="43.2">
      <c r="A6" s="7"/>
      <c r="B6" s="8"/>
      <c r="C6" s="31" t="s">
        <v>22</v>
      </c>
      <c r="D6" s="32"/>
      <c r="E6" s="8"/>
      <c r="F6" s="7"/>
      <c r="G6" s="9" t="s">
        <v>23</v>
      </c>
      <c r="H6" s="8"/>
      <c r="I6" s="11"/>
      <c r="J6" s="11"/>
      <c r="K6" s="11"/>
      <c r="L6" s="11"/>
      <c r="M6" s="11"/>
      <c r="N6" s="14"/>
      <c r="O6" s="14"/>
      <c r="P6" s="5"/>
      <c r="Q6" s="5"/>
      <c r="R6" s="5"/>
      <c r="S6" s="5"/>
      <c r="T6" s="5"/>
      <c r="U6" s="5"/>
      <c r="V6" s="5"/>
      <c r="W6" s="5"/>
      <c r="X6" s="5"/>
    </row>
    <row r="7" spans="1:24">
      <c r="A7" s="7"/>
      <c r="B7" s="8"/>
      <c r="C7" s="31" t="s">
        <v>24</v>
      </c>
      <c r="D7" s="32"/>
      <c r="E7" s="23"/>
      <c r="F7" s="7"/>
      <c r="G7" s="9" t="s">
        <v>25</v>
      </c>
      <c r="H7" s="8" t="s">
        <v>26</v>
      </c>
      <c r="I7" s="11"/>
      <c r="J7" s="11"/>
      <c r="K7" s="11"/>
      <c r="L7" s="11"/>
      <c r="M7" s="11"/>
      <c r="N7" s="14"/>
      <c r="O7" s="14"/>
      <c r="P7" s="5"/>
      <c r="Q7" s="5"/>
      <c r="R7" s="5"/>
      <c r="S7" s="5"/>
      <c r="T7" s="5"/>
      <c r="U7" s="5"/>
      <c r="V7" s="5"/>
      <c r="W7" s="5"/>
      <c r="X7" s="5"/>
    </row>
    <row r="8" spans="1:24" ht="28.8">
      <c r="A8" s="7"/>
      <c r="B8" s="8"/>
      <c r="C8" s="31" t="s">
        <v>27</v>
      </c>
      <c r="D8" s="32" t="s">
        <v>28</v>
      </c>
      <c r="E8" s="8"/>
      <c r="F8" s="7"/>
      <c r="G8" s="9" t="s">
        <v>25</v>
      </c>
      <c r="H8" s="8"/>
      <c r="I8" s="11"/>
      <c r="J8" s="11"/>
      <c r="K8" s="11"/>
      <c r="L8" s="11"/>
      <c r="M8" s="11"/>
      <c r="N8" s="14"/>
      <c r="O8" s="14"/>
      <c r="P8" s="5"/>
      <c r="Q8" s="5"/>
      <c r="R8" s="5"/>
      <c r="S8" s="5"/>
      <c r="T8" s="5"/>
      <c r="U8" s="5"/>
      <c r="V8" s="5"/>
      <c r="W8" s="5"/>
      <c r="X8" s="5"/>
    </row>
    <row r="9" spans="1:24">
      <c r="A9" s="7"/>
      <c r="B9" s="8"/>
      <c r="C9" s="31" t="s">
        <v>29</v>
      </c>
      <c r="D9" s="32"/>
      <c r="E9" s="8"/>
      <c r="F9" s="7"/>
      <c r="G9" s="9" t="s">
        <v>23</v>
      </c>
      <c r="H9" s="8"/>
      <c r="I9" s="11"/>
      <c r="J9" s="11"/>
      <c r="K9" s="11"/>
      <c r="L9" s="11"/>
      <c r="M9" s="11"/>
      <c r="N9" s="14"/>
      <c r="O9" s="14"/>
      <c r="P9" s="5"/>
      <c r="Q9" s="5"/>
      <c r="R9" s="5"/>
      <c r="S9" s="5"/>
      <c r="T9" s="5"/>
      <c r="U9" s="5"/>
      <c r="V9" s="5"/>
      <c r="W9" s="5"/>
      <c r="X9" s="5"/>
    </row>
    <row r="10" spans="1:24" ht="43.2">
      <c r="A10" s="7"/>
      <c r="B10" s="8"/>
      <c r="C10" s="31" t="s">
        <v>30</v>
      </c>
      <c r="D10" s="32" t="s">
        <v>31</v>
      </c>
      <c r="E10" s="8"/>
      <c r="F10" s="7"/>
      <c r="G10" s="9" t="s">
        <v>25</v>
      </c>
      <c r="H10" s="8"/>
      <c r="I10" s="11"/>
      <c r="J10" s="11"/>
      <c r="K10" s="11"/>
      <c r="L10" s="11"/>
      <c r="M10" s="11"/>
      <c r="N10" s="14"/>
      <c r="O10" s="14"/>
      <c r="P10" s="5"/>
      <c r="Q10" s="5"/>
      <c r="R10" s="5"/>
      <c r="S10" s="5"/>
      <c r="T10" s="5"/>
      <c r="U10" s="5"/>
      <c r="V10" s="5"/>
      <c r="W10" s="5"/>
      <c r="X10" s="5"/>
    </row>
    <row r="11" spans="1:24" ht="31.2">
      <c r="A11" s="20">
        <v>46051</v>
      </c>
      <c r="B11" s="8"/>
      <c r="C11" s="32" t="s">
        <v>32</v>
      </c>
      <c r="D11" s="32" t="s">
        <v>33</v>
      </c>
      <c r="E11" s="8"/>
      <c r="F11" s="7" t="s">
        <v>2</v>
      </c>
      <c r="G11" s="9" t="s">
        <v>34</v>
      </c>
      <c r="H11" s="8"/>
      <c r="I11" s="11"/>
      <c r="J11" s="11"/>
      <c r="K11" s="11"/>
      <c r="L11" s="11"/>
      <c r="M11" s="11"/>
      <c r="N11" s="14"/>
      <c r="O11" s="14"/>
      <c r="P11" s="5"/>
      <c r="Q11" s="5"/>
      <c r="R11" s="5"/>
      <c r="S11" s="5"/>
      <c r="T11" s="5"/>
      <c r="U11" s="5"/>
      <c r="V11" s="5"/>
      <c r="W11" s="5"/>
      <c r="X11" s="5"/>
    </row>
    <row r="12" spans="1:24">
      <c r="A12" s="7"/>
      <c r="B12" s="8"/>
      <c r="C12" s="32" t="s">
        <v>35</v>
      </c>
      <c r="D12" s="32"/>
      <c r="E12" s="8"/>
      <c r="F12" s="7"/>
      <c r="G12" s="9" t="s">
        <v>25</v>
      </c>
      <c r="H12" s="8" t="s">
        <v>36</v>
      </c>
      <c r="I12" s="11"/>
      <c r="J12" s="11"/>
      <c r="K12" s="11"/>
      <c r="L12" s="11"/>
      <c r="M12" s="11"/>
      <c r="N12" s="14"/>
      <c r="O12" s="14"/>
      <c r="P12" s="5"/>
      <c r="Q12" s="5"/>
      <c r="R12" s="5"/>
      <c r="S12" s="5"/>
      <c r="T12" s="5"/>
      <c r="U12" s="5"/>
      <c r="V12" s="5"/>
      <c r="W12" s="5"/>
      <c r="X12" s="5"/>
    </row>
    <row r="13" spans="1:24" ht="28.8">
      <c r="A13" s="20"/>
      <c r="B13" s="7"/>
      <c r="C13" s="32" t="s">
        <v>37</v>
      </c>
      <c r="D13" s="32" t="s">
        <v>38</v>
      </c>
      <c r="E13" s="8"/>
      <c r="F13" s="7"/>
      <c r="G13" s="9" t="s">
        <v>25</v>
      </c>
      <c r="H13" s="8"/>
      <c r="I13" s="11"/>
      <c r="J13" s="11"/>
      <c r="K13" s="11"/>
      <c r="L13" s="11"/>
      <c r="M13" s="11"/>
      <c r="N13" s="14"/>
      <c r="O13" s="14"/>
      <c r="P13" s="5"/>
      <c r="Q13" s="5"/>
      <c r="R13" s="5"/>
      <c r="S13" s="5"/>
      <c r="T13" s="5"/>
      <c r="U13" s="5"/>
      <c r="V13" s="5"/>
      <c r="W13" s="5"/>
      <c r="X13" s="5"/>
    </row>
    <row r="14" spans="1:24">
      <c r="A14" s="7"/>
      <c r="B14" s="8"/>
      <c r="C14" s="32" t="s">
        <v>39</v>
      </c>
      <c r="D14" s="32" t="s">
        <v>40</v>
      </c>
      <c r="E14" s="8"/>
      <c r="F14" s="7" t="s">
        <v>8</v>
      </c>
      <c r="G14" s="9" t="s">
        <v>23</v>
      </c>
      <c r="H14" s="8"/>
      <c r="I14" s="11"/>
      <c r="J14" s="11"/>
      <c r="K14" s="11"/>
      <c r="L14" s="11"/>
      <c r="M14" s="11"/>
      <c r="N14" s="14"/>
      <c r="O14" s="14"/>
      <c r="P14" s="5"/>
      <c r="Q14" s="5"/>
      <c r="R14" s="5"/>
      <c r="S14" s="5"/>
      <c r="T14" s="5"/>
      <c r="U14" s="5"/>
      <c r="V14" s="5"/>
      <c r="W14" s="5"/>
      <c r="X14" s="5"/>
    </row>
    <row r="15" spans="1:24" ht="62.4">
      <c r="A15" s="7"/>
      <c r="B15" s="8"/>
      <c r="C15" s="32" t="s">
        <v>41</v>
      </c>
      <c r="D15" s="32" t="s">
        <v>42</v>
      </c>
      <c r="E15" s="8"/>
      <c r="F15" s="7" t="s">
        <v>4</v>
      </c>
      <c r="G15" s="9" t="s">
        <v>25</v>
      </c>
      <c r="H15" s="9" t="s">
        <v>43</v>
      </c>
      <c r="I15" s="11"/>
      <c r="J15" s="11"/>
      <c r="K15" s="11"/>
      <c r="L15" s="11"/>
      <c r="M15" s="11"/>
      <c r="N15" s="14"/>
      <c r="O15" s="14"/>
      <c r="P15" s="5"/>
      <c r="Q15" s="5"/>
      <c r="R15" s="5"/>
      <c r="S15" s="5"/>
      <c r="T15" s="5"/>
      <c r="U15" s="5"/>
      <c r="V15" s="5"/>
      <c r="W15" s="5"/>
      <c r="X15" s="5"/>
    </row>
    <row r="16" spans="1:24">
      <c r="A16" s="7"/>
      <c r="B16" s="8"/>
      <c r="C16" s="32" t="s">
        <v>44</v>
      </c>
      <c r="D16" s="32" t="s">
        <v>45</v>
      </c>
      <c r="E16" s="8"/>
      <c r="F16" s="7" t="s">
        <v>4</v>
      </c>
      <c r="G16" s="9" t="s">
        <v>23</v>
      </c>
      <c r="H16" s="8"/>
      <c r="I16" s="11"/>
      <c r="J16" s="11"/>
      <c r="K16" s="11"/>
      <c r="L16" s="11"/>
      <c r="M16" s="11"/>
      <c r="N16" s="14"/>
      <c r="O16" s="14"/>
      <c r="P16" s="5"/>
      <c r="Q16" s="5"/>
      <c r="R16" s="5"/>
      <c r="S16" s="5"/>
      <c r="T16" s="5"/>
      <c r="U16" s="5"/>
      <c r="V16" s="5"/>
      <c r="W16" s="5"/>
      <c r="X16" s="5"/>
    </row>
    <row r="17" spans="1:24" ht="28.8">
      <c r="A17" s="7"/>
      <c r="B17" s="8"/>
      <c r="C17" s="32" t="s">
        <v>46</v>
      </c>
      <c r="D17" s="32"/>
      <c r="E17" s="8"/>
      <c r="F17" s="7" t="s">
        <v>6</v>
      </c>
      <c r="G17" s="9" t="s">
        <v>25</v>
      </c>
      <c r="H17" s="8"/>
      <c r="I17" s="11"/>
      <c r="J17" s="11"/>
      <c r="K17" s="11"/>
      <c r="L17" s="11"/>
      <c r="M17" s="11"/>
      <c r="N17" s="14"/>
      <c r="O17" s="14"/>
      <c r="P17" s="5"/>
      <c r="Q17" s="5"/>
      <c r="R17" s="5"/>
      <c r="S17" s="5"/>
      <c r="T17" s="5"/>
      <c r="U17" s="5"/>
      <c r="V17" s="5"/>
      <c r="W17" s="5"/>
      <c r="X17" s="5"/>
    </row>
    <row r="18" spans="1:24" ht="31.2">
      <c r="A18" s="7"/>
      <c r="B18" s="8"/>
      <c r="C18" s="32" t="s">
        <v>47</v>
      </c>
      <c r="D18" s="32"/>
      <c r="E18" s="8"/>
      <c r="F18" s="7" t="s">
        <v>6</v>
      </c>
      <c r="G18" s="9" t="s">
        <v>34</v>
      </c>
      <c r="H18" s="8"/>
      <c r="I18" s="11"/>
      <c r="J18" s="11"/>
      <c r="K18" s="11"/>
      <c r="L18" s="11"/>
      <c r="M18" s="11"/>
      <c r="N18" s="14"/>
      <c r="O18" s="14"/>
      <c r="P18" s="5"/>
      <c r="Q18" s="5"/>
      <c r="R18" s="5"/>
      <c r="S18" s="5"/>
      <c r="T18" s="5"/>
      <c r="U18" s="5"/>
      <c r="V18" s="5"/>
      <c r="W18" s="5"/>
      <c r="X18" s="5"/>
    </row>
    <row r="19" spans="1:24">
      <c r="A19" s="20">
        <v>46056</v>
      </c>
      <c r="B19" s="8"/>
      <c r="C19" s="32" t="s">
        <v>48</v>
      </c>
      <c r="D19" s="32"/>
      <c r="E19" s="8"/>
      <c r="F19" s="7"/>
      <c r="G19" s="9" t="s">
        <v>23</v>
      </c>
      <c r="H19" s="8"/>
      <c r="I19" s="11"/>
      <c r="J19" s="11"/>
      <c r="K19" s="11"/>
      <c r="L19" s="11"/>
      <c r="M19" s="11"/>
      <c r="N19" s="14"/>
      <c r="O19" s="14"/>
      <c r="P19" s="5"/>
      <c r="Q19" s="5"/>
      <c r="R19" s="5"/>
      <c r="S19" s="5"/>
      <c r="T19" s="5"/>
      <c r="U19" s="5"/>
      <c r="V19" s="5"/>
      <c r="W19" s="5"/>
      <c r="X19" s="5"/>
    </row>
    <row r="20" spans="1:24">
      <c r="A20" s="7"/>
      <c r="B20" s="8"/>
      <c r="C20" s="32" t="s">
        <v>49</v>
      </c>
      <c r="D20" s="32" t="s">
        <v>50</v>
      </c>
      <c r="E20" s="8"/>
      <c r="F20" s="7"/>
      <c r="G20" s="9" t="s">
        <v>25</v>
      </c>
      <c r="H20" s="8"/>
      <c r="I20" s="11"/>
      <c r="J20" s="11"/>
      <c r="K20" s="11"/>
      <c r="L20" s="11"/>
      <c r="M20" s="11"/>
      <c r="N20" s="14"/>
      <c r="O20" s="14"/>
      <c r="P20" s="5"/>
      <c r="Q20" s="5"/>
      <c r="R20" s="5"/>
      <c r="S20" s="5"/>
      <c r="T20" s="5"/>
      <c r="U20" s="5"/>
      <c r="V20" s="5"/>
      <c r="W20" s="5"/>
      <c r="X20" s="5"/>
    </row>
    <row r="21" spans="1:24" ht="27.6">
      <c r="A21" s="20">
        <v>46059</v>
      </c>
      <c r="B21" s="14"/>
      <c r="C21" s="33" t="s">
        <v>51</v>
      </c>
      <c r="D21" s="33" t="s">
        <v>52</v>
      </c>
      <c r="E21" s="14"/>
      <c r="F21" s="21" t="s">
        <v>2</v>
      </c>
      <c r="G21" s="30" t="s">
        <v>25</v>
      </c>
      <c r="H21" s="14"/>
      <c r="I21" s="14"/>
      <c r="J21" s="14"/>
      <c r="K21" s="14"/>
      <c r="L21" s="14"/>
      <c r="M21" s="14"/>
      <c r="N21" s="14"/>
      <c r="O21" s="14"/>
      <c r="P21" s="5"/>
      <c r="Q21" s="5"/>
      <c r="R21" s="5"/>
      <c r="S21" s="5"/>
      <c r="T21" s="5"/>
      <c r="U21" s="5"/>
      <c r="V21" s="5"/>
      <c r="W21" s="5"/>
      <c r="X21" s="5"/>
    </row>
    <row r="22" spans="1:24" ht="57.6">
      <c r="A22" s="7"/>
      <c r="B22" s="8"/>
      <c r="C22" s="32" t="s">
        <v>53</v>
      </c>
      <c r="D22" s="32"/>
      <c r="E22" s="8"/>
      <c r="F22" s="7"/>
      <c r="G22" s="9"/>
      <c r="H22" s="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>
      <c r="A23" s="24">
        <v>46065</v>
      </c>
      <c r="C23" s="32" t="s">
        <v>54</v>
      </c>
      <c r="D23" s="32"/>
      <c r="F23" s="26" t="s">
        <v>6</v>
      </c>
    </row>
    <row r="24" spans="1:24">
      <c r="C24" s="32" t="s">
        <v>55</v>
      </c>
      <c r="D24" s="32"/>
      <c r="F24" s="26" t="s">
        <v>56</v>
      </c>
    </row>
    <row r="25" spans="1:24">
      <c r="C25" s="32" t="s">
        <v>57</v>
      </c>
      <c r="D25" s="32"/>
    </row>
    <row r="26" spans="1:24" ht="28.8">
      <c r="C26" s="32" t="s">
        <v>58</v>
      </c>
      <c r="D26" s="32"/>
    </row>
    <row r="27" spans="1:24" ht="43.2">
      <c r="A27" s="24">
        <v>46094</v>
      </c>
      <c r="C27" s="32" t="s">
        <v>59</v>
      </c>
      <c r="D27" s="32"/>
      <c r="F27" s="26" t="s">
        <v>6</v>
      </c>
    </row>
    <row r="28" spans="1:24">
      <c r="A28" s="24"/>
      <c r="C28" s="32" t="s">
        <v>60</v>
      </c>
      <c r="D28" s="32"/>
      <c r="F28" s="26" t="s">
        <v>4</v>
      </c>
    </row>
    <row r="29" spans="1:24">
      <c r="A29" s="24"/>
      <c r="C29" s="32" t="s">
        <v>61</v>
      </c>
      <c r="D29" s="32"/>
      <c r="F29" s="26" t="s">
        <v>4</v>
      </c>
    </row>
    <row r="30" spans="1:24" ht="43.2">
      <c r="C30" s="34" t="s">
        <v>62</v>
      </c>
      <c r="D30" s="32"/>
    </row>
    <row r="31" spans="1:24">
      <c r="C31" s="32" t="s">
        <v>63</v>
      </c>
      <c r="D31" s="32"/>
      <c r="F31" s="26" t="s">
        <v>4</v>
      </c>
    </row>
    <row r="32" spans="1:24" ht="28.8">
      <c r="C32" s="32" t="s">
        <v>64</v>
      </c>
      <c r="D32" s="32"/>
      <c r="F32" s="26" t="s">
        <v>8</v>
      </c>
    </row>
    <row r="33" spans="1:9" ht="28.8">
      <c r="A33" s="24"/>
      <c r="C33" s="32" t="s">
        <v>65</v>
      </c>
      <c r="D33" s="32"/>
      <c r="F33" s="26" t="s">
        <v>6</v>
      </c>
    </row>
    <row r="34" spans="1:9">
      <c r="A34" s="24"/>
      <c r="C34" s="32" t="s">
        <v>66</v>
      </c>
      <c r="D34" s="32"/>
      <c r="F34" s="26" t="s">
        <v>6</v>
      </c>
    </row>
    <row r="35" spans="1:9" ht="43.2">
      <c r="A35" s="24"/>
      <c r="C35" s="31" t="s">
        <v>67</v>
      </c>
    </row>
    <row r="36" spans="1:9" ht="28.8">
      <c r="A36" s="24"/>
      <c r="C36" s="31" t="s">
        <v>68</v>
      </c>
    </row>
    <row r="37" spans="1:9" ht="57.6">
      <c r="C37" s="32" t="s">
        <v>69</v>
      </c>
      <c r="D37" s="32"/>
    </row>
    <row r="38" spans="1:9">
      <c r="A38" s="24">
        <v>46114</v>
      </c>
      <c r="C38" s="32" t="s">
        <v>70</v>
      </c>
      <c r="D38" s="32" t="s">
        <v>71</v>
      </c>
    </row>
    <row r="39" spans="1:9">
      <c r="C39" s="32"/>
      <c r="D39" s="32" t="s">
        <v>72</v>
      </c>
    </row>
    <row r="40" spans="1:9">
      <c r="A40" s="20"/>
      <c r="B40" s="28"/>
      <c r="C40" s="32"/>
      <c r="D40" s="32" t="s">
        <v>73</v>
      </c>
    </row>
    <row r="41" spans="1:9">
      <c r="C41" s="32"/>
      <c r="D41" s="32" t="s">
        <v>74</v>
      </c>
    </row>
    <row r="42" spans="1:9">
      <c r="C42" s="32"/>
      <c r="D42" s="32" t="s">
        <v>75</v>
      </c>
    </row>
    <row r="43" spans="1:9">
      <c r="C43" s="32"/>
      <c r="D43" s="32" t="s">
        <v>76</v>
      </c>
    </row>
    <row r="44" spans="1:9">
      <c r="C44" s="32"/>
      <c r="D44" s="32"/>
      <c r="H44" s="25" t="s">
        <v>77</v>
      </c>
    </row>
    <row r="45" spans="1:9">
      <c r="C45" s="32"/>
      <c r="D45" s="32"/>
      <c r="H45" s="25" t="s">
        <v>78</v>
      </c>
    </row>
    <row r="46" spans="1:9">
      <c r="C46" s="32"/>
      <c r="H46" s="25" t="s">
        <v>79</v>
      </c>
      <c r="I46" t="s">
        <v>80</v>
      </c>
    </row>
    <row r="47" spans="1:9">
      <c r="C47" s="32"/>
      <c r="D47" s="32"/>
      <c r="H47" s="25" t="s">
        <v>81</v>
      </c>
    </row>
    <row r="48" spans="1:9">
      <c r="D48" s="32"/>
      <c r="H48" s="25" t="s">
        <v>82</v>
      </c>
      <c r="I48" t="s">
        <v>83</v>
      </c>
    </row>
    <row r="49" spans="1:9">
      <c r="D49" s="32"/>
      <c r="H49" s="25" t="s">
        <v>84</v>
      </c>
    </row>
    <row r="50" spans="1:9">
      <c r="C50" s="32"/>
      <c r="D50" s="32"/>
      <c r="H50" s="25" t="s">
        <v>85</v>
      </c>
      <c r="I50" t="s">
        <v>86</v>
      </c>
    </row>
    <row r="51" spans="1:9">
      <c r="C51" s="32"/>
      <c r="D51" s="32"/>
    </row>
    <row r="52" spans="1:9">
      <c r="D52" s="32"/>
    </row>
    <row r="53" spans="1:9">
      <c r="C53" s="32"/>
    </row>
    <row r="54" spans="1:9">
      <c r="C54" s="32"/>
      <c r="D54" s="32"/>
    </row>
    <row r="57" spans="1:9">
      <c r="A57" s="20"/>
      <c r="B57" s="28"/>
    </row>
    <row r="59" spans="1:9">
      <c r="A59" s="24"/>
    </row>
    <row r="60" spans="1:9">
      <c r="A60" s="24"/>
    </row>
    <row r="61" spans="1:9">
      <c r="A61" s="24"/>
    </row>
    <row r="64" spans="1:9">
      <c r="A64" s="24"/>
      <c r="B64" s="28"/>
    </row>
    <row r="66" spans="1:9">
      <c r="A66" s="24"/>
      <c r="I66" s="29"/>
    </row>
    <row r="67" spans="1:9">
      <c r="A67" s="24"/>
    </row>
  </sheetData>
  <mergeCells count="1">
    <mergeCell ref="A1:H1"/>
  </mergeCells>
  <dataValidations disablePrompts="1" count="1">
    <dataValidation type="list" allowBlank="1" showInputMessage="1" showErrorMessage="1" sqref="G37:G218 G5:G34" xr:uid="{E8C5761A-C5AD-4F53-AB3D-CB082368D75C}">
      <formula1>"Not started, Planning, In contact, Under review, Approved, Rejected (state why in comments), In-progress, Completed (no ARR), Completed (AAR required), AAR in progress, AAR submitted, APF submitted, APF approved, APF rejected (state why in comments)"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781A-AA3F-45C3-8E33-012EB31ABD81}">
  <dimension ref="A1:D75"/>
  <sheetViews>
    <sheetView workbookViewId="0">
      <selection activeCell="D7" sqref="D7"/>
    </sheetView>
  </sheetViews>
  <sheetFormatPr defaultRowHeight="14.4"/>
  <sheetData>
    <row r="1" spans="1:4">
      <c r="A1" s="39" t="s">
        <v>87</v>
      </c>
      <c r="B1" s="39" t="s">
        <v>88</v>
      </c>
      <c r="C1" s="39" t="s">
        <v>89</v>
      </c>
      <c r="D1" s="39" t="s">
        <v>90</v>
      </c>
    </row>
    <row r="2" spans="1:4">
      <c r="A2" s="39">
        <v>117.4</v>
      </c>
      <c r="B2" s="39" t="s">
        <v>91</v>
      </c>
      <c r="C2" s="39">
        <v>197.66229999999999</v>
      </c>
      <c r="D2" s="39">
        <v>31.231400000000001</v>
      </c>
    </row>
    <row r="3" spans="1:4">
      <c r="A3" s="39">
        <v>176.02</v>
      </c>
      <c r="B3" s="39" t="s">
        <v>91</v>
      </c>
      <c r="C3" s="39"/>
      <c r="D3" s="39"/>
    </row>
    <row r="4" spans="1:4">
      <c r="A4" s="39">
        <v>166.97</v>
      </c>
      <c r="B4" s="39" t="s">
        <v>91</v>
      </c>
      <c r="C4" s="39"/>
      <c r="D4" s="39"/>
    </row>
    <row r="5" spans="1:4">
      <c r="A5" s="39">
        <v>161.08000000000001</v>
      </c>
      <c r="B5" s="39" t="s">
        <v>91</v>
      </c>
      <c r="C5" s="39"/>
      <c r="D5" s="39"/>
    </row>
    <row r="6" spans="1:4">
      <c r="A6" s="39">
        <v>195.91</v>
      </c>
      <c r="B6" s="39" t="s">
        <v>91</v>
      </c>
      <c r="C6" s="39"/>
      <c r="D6" s="39"/>
    </row>
    <row r="7" spans="1:4">
      <c r="A7" s="39">
        <v>151.16</v>
      </c>
      <c r="B7" s="39" t="s">
        <v>91</v>
      </c>
      <c r="C7" s="39"/>
      <c r="D7" s="39"/>
    </row>
    <row r="8" spans="1:4">
      <c r="A8" s="39">
        <v>175.48</v>
      </c>
      <c r="B8" s="39" t="s">
        <v>91</v>
      </c>
      <c r="C8" s="39"/>
      <c r="D8" s="39"/>
    </row>
    <row r="9" spans="1:4">
      <c r="A9" s="39">
        <v>197</v>
      </c>
      <c r="B9" s="39" t="s">
        <v>92</v>
      </c>
      <c r="C9" s="39"/>
      <c r="D9" s="39"/>
    </row>
    <row r="10" spans="1:4">
      <c r="A10" s="39">
        <v>171.05</v>
      </c>
      <c r="B10" s="39" t="s">
        <v>92</v>
      </c>
      <c r="C10" s="39"/>
      <c r="D10" s="39"/>
    </row>
    <row r="11" spans="1:4">
      <c r="A11" s="39">
        <v>117.9</v>
      </c>
      <c r="B11" s="39" t="s">
        <v>91</v>
      </c>
      <c r="C11" s="39"/>
      <c r="D11" s="39"/>
    </row>
    <row r="12" spans="1:4">
      <c r="A12" s="39">
        <v>192.3</v>
      </c>
      <c r="B12" s="39" t="s">
        <v>92</v>
      </c>
      <c r="C12" s="39"/>
      <c r="D12" s="39"/>
    </row>
    <row r="13" spans="1:4">
      <c r="A13" s="39">
        <v>181.1</v>
      </c>
      <c r="B13" s="39" t="s">
        <v>92</v>
      </c>
      <c r="C13" s="39"/>
      <c r="D13" s="39"/>
    </row>
    <row r="14" spans="1:4">
      <c r="A14" s="39">
        <v>213.9</v>
      </c>
      <c r="B14" s="39" t="s">
        <v>91</v>
      </c>
      <c r="C14" s="39"/>
      <c r="D14" s="39"/>
    </row>
    <row r="15" spans="1:4">
      <c r="A15" s="39">
        <v>196.1</v>
      </c>
      <c r="B15" s="39" t="s">
        <v>91</v>
      </c>
      <c r="C15" s="39"/>
      <c r="D15" s="39"/>
    </row>
    <row r="16" spans="1:4">
      <c r="A16" s="39">
        <v>174.5</v>
      </c>
      <c r="B16" s="39" t="s">
        <v>91</v>
      </c>
      <c r="C16" s="39"/>
      <c r="D16" s="39"/>
    </row>
    <row r="17" spans="1:4">
      <c r="A17" s="39">
        <v>201.6</v>
      </c>
      <c r="B17" s="39" t="s">
        <v>91</v>
      </c>
      <c r="C17" s="39"/>
      <c r="D17" s="39"/>
    </row>
    <row r="18" spans="1:4">
      <c r="A18" s="39">
        <v>153.6</v>
      </c>
      <c r="B18" s="39" t="s">
        <v>91</v>
      </c>
      <c r="C18" s="39"/>
      <c r="D18" s="39"/>
    </row>
    <row r="19" spans="1:4">
      <c r="A19" s="39">
        <v>194.3</v>
      </c>
      <c r="B19" s="39" t="s">
        <v>91</v>
      </c>
      <c r="C19" s="39"/>
      <c r="D19" s="39"/>
    </row>
    <row r="20" spans="1:4">
      <c r="A20" s="39">
        <v>207.5</v>
      </c>
      <c r="B20" s="39" t="s">
        <v>91</v>
      </c>
      <c r="C20" s="39"/>
      <c r="D20" s="39"/>
    </row>
    <row r="21" spans="1:4">
      <c r="A21" s="39">
        <v>167.1</v>
      </c>
      <c r="B21" s="39" t="s">
        <v>91</v>
      </c>
      <c r="C21" s="39"/>
      <c r="D21" s="39"/>
    </row>
    <row r="22" spans="1:4">
      <c r="A22" s="39">
        <v>211.6</v>
      </c>
      <c r="B22" s="39" t="s">
        <v>91</v>
      </c>
      <c r="C22" s="39"/>
      <c r="D22" s="39"/>
    </row>
    <row r="23" spans="1:4">
      <c r="A23" s="39">
        <v>180</v>
      </c>
      <c r="B23" s="39" t="s">
        <v>91</v>
      </c>
      <c r="C23" s="39"/>
      <c r="D23" s="39"/>
    </row>
    <row r="24" spans="1:4">
      <c r="A24" s="39">
        <v>222.4</v>
      </c>
      <c r="B24" s="39" t="s">
        <v>91</v>
      </c>
      <c r="C24" s="39"/>
      <c r="D24" s="39"/>
    </row>
    <row r="25" spans="1:4">
      <c r="A25" s="39">
        <v>231.9</v>
      </c>
      <c r="B25" s="39" t="s">
        <v>91</v>
      </c>
      <c r="C25" s="39"/>
      <c r="D25" s="39"/>
    </row>
    <row r="26" spans="1:4">
      <c r="A26" s="39">
        <v>202.1</v>
      </c>
      <c r="B26" s="39" t="s">
        <v>91</v>
      </c>
      <c r="C26" s="39"/>
      <c r="D26" s="39"/>
    </row>
    <row r="27" spans="1:4">
      <c r="A27" s="39">
        <v>246</v>
      </c>
      <c r="B27" s="39" t="s">
        <v>91</v>
      </c>
      <c r="C27" s="39"/>
      <c r="D27" s="39"/>
    </row>
    <row r="28" spans="1:4">
      <c r="A28" s="39">
        <v>168.5</v>
      </c>
      <c r="B28" s="39" t="s">
        <v>91</v>
      </c>
      <c r="C28" s="39"/>
      <c r="D28" s="39"/>
    </row>
    <row r="29" spans="1:4">
      <c r="A29" s="39">
        <v>192.4</v>
      </c>
      <c r="B29" s="39" t="s">
        <v>91</v>
      </c>
      <c r="C29" s="39"/>
      <c r="D29" s="39"/>
    </row>
    <row r="30" spans="1:4">
      <c r="A30" s="39">
        <v>222.92</v>
      </c>
      <c r="B30" s="39" t="s">
        <v>91</v>
      </c>
      <c r="C30" s="39"/>
      <c r="D30" s="39"/>
    </row>
    <row r="31" spans="1:4">
      <c r="A31" s="39">
        <v>195.14</v>
      </c>
      <c r="B31" s="39" t="s">
        <v>92</v>
      </c>
      <c r="C31" s="39"/>
      <c r="D31" s="39"/>
    </row>
    <row r="32" spans="1:4">
      <c r="A32" s="39">
        <v>222</v>
      </c>
      <c r="B32" s="39" t="s">
        <v>91</v>
      </c>
      <c r="C32" s="39"/>
      <c r="D32" s="39"/>
    </row>
    <row r="33" spans="1:4">
      <c r="A33" s="39">
        <v>185.7</v>
      </c>
      <c r="B33" s="39" t="s">
        <v>92</v>
      </c>
      <c r="C33" s="39"/>
      <c r="D33" s="39"/>
    </row>
    <row r="34" spans="1:4">
      <c r="A34" s="39">
        <v>180.8</v>
      </c>
      <c r="B34" s="39" t="s">
        <v>92</v>
      </c>
      <c r="C34" s="39"/>
      <c r="D34" s="39"/>
    </row>
    <row r="35" spans="1:4">
      <c r="A35" s="39">
        <v>227.4</v>
      </c>
      <c r="B35" s="39" t="s">
        <v>91</v>
      </c>
      <c r="C35" s="39"/>
      <c r="D35" s="39"/>
    </row>
    <row r="36" spans="1:4">
      <c r="A36" s="39">
        <v>267.2</v>
      </c>
      <c r="B36" s="39" t="s">
        <v>91</v>
      </c>
      <c r="C36" s="39"/>
      <c r="D36" s="39"/>
    </row>
    <row r="37" spans="1:4">
      <c r="A37" s="39">
        <v>186.2</v>
      </c>
      <c r="B37" s="39" t="s">
        <v>91</v>
      </c>
      <c r="C37" s="39"/>
      <c r="D37" s="39"/>
    </row>
    <row r="38" spans="1:4">
      <c r="A38" s="39">
        <v>255.7</v>
      </c>
      <c r="B38" s="39" t="s">
        <v>91</v>
      </c>
      <c r="C38" s="39"/>
      <c r="D38" s="39"/>
    </row>
    <row r="39" spans="1:4">
      <c r="A39" s="39">
        <v>232.6</v>
      </c>
      <c r="B39" s="39" t="s">
        <v>91</v>
      </c>
      <c r="C39" s="39"/>
      <c r="D39" s="39"/>
    </row>
    <row r="40" spans="1:4">
      <c r="A40" s="39">
        <v>144.62</v>
      </c>
      <c r="B40" s="39" t="s">
        <v>91</v>
      </c>
      <c r="C40" s="39"/>
      <c r="D40" s="39"/>
    </row>
    <row r="41" spans="1:4">
      <c r="A41" s="39">
        <v>201.97</v>
      </c>
      <c r="B41" s="39" t="s">
        <v>91</v>
      </c>
      <c r="C41" s="39"/>
      <c r="D41" s="39"/>
    </row>
    <row r="42" spans="1:4">
      <c r="A42" s="39">
        <v>204.83</v>
      </c>
      <c r="B42" s="39" t="s">
        <v>91</v>
      </c>
      <c r="C42" s="39"/>
      <c r="D42" s="39"/>
    </row>
    <row r="43" spans="1:4">
      <c r="A43" s="39">
        <v>228.32</v>
      </c>
      <c r="B43" s="39" t="s">
        <v>91</v>
      </c>
      <c r="C43" s="39"/>
      <c r="D43" s="39"/>
    </row>
    <row r="44" spans="1:4">
      <c r="A44" s="39">
        <v>219.4</v>
      </c>
      <c r="B44" s="39" t="s">
        <v>91</v>
      </c>
      <c r="C44" s="39"/>
      <c r="D44" s="39"/>
    </row>
    <row r="45" spans="1:4">
      <c r="A45" s="39">
        <v>288.5</v>
      </c>
      <c r="B45" s="39" t="s">
        <v>91</v>
      </c>
      <c r="C45" s="39"/>
      <c r="D45" s="39"/>
    </row>
    <row r="46" spans="1:4">
      <c r="A46" s="39">
        <v>203.15</v>
      </c>
      <c r="B46" s="39" t="s">
        <v>92</v>
      </c>
      <c r="C46" s="39"/>
      <c r="D46" s="39"/>
    </row>
    <row r="47" spans="1:4">
      <c r="A47" s="39">
        <v>243.9</v>
      </c>
      <c r="B47" s="39" t="s">
        <v>92</v>
      </c>
      <c r="C47" s="39"/>
      <c r="D47" s="39"/>
    </row>
    <row r="48" spans="1:4">
      <c r="A48" s="39">
        <v>217.24</v>
      </c>
      <c r="B48" s="39" t="s">
        <v>91</v>
      </c>
      <c r="C48" s="39"/>
      <c r="D48" s="39"/>
    </row>
    <row r="49" spans="1:4">
      <c r="A49" s="39">
        <v>288.02999999999997</v>
      </c>
      <c r="B49" s="39" t="s">
        <v>91</v>
      </c>
      <c r="C49" s="39"/>
      <c r="D49" s="39"/>
    </row>
    <row r="50" spans="1:4">
      <c r="A50" s="39">
        <v>196.58</v>
      </c>
      <c r="B50" s="39" t="s">
        <v>92</v>
      </c>
      <c r="C50" s="39"/>
      <c r="D50" s="39"/>
    </row>
    <row r="51" spans="1:4">
      <c r="A51" s="39">
        <v>183.49</v>
      </c>
      <c r="B51" s="39" t="s">
        <v>91</v>
      </c>
      <c r="C51" s="39"/>
      <c r="D51" s="39"/>
    </row>
    <row r="52" spans="1:4">
      <c r="A52" s="39">
        <v>205.3</v>
      </c>
      <c r="B52" s="39" t="s">
        <v>92</v>
      </c>
      <c r="C52" s="39"/>
      <c r="D52" s="39"/>
    </row>
    <row r="53" spans="1:4">
      <c r="A53" s="39">
        <v>202.4</v>
      </c>
      <c r="B53" s="39" t="s">
        <v>91</v>
      </c>
      <c r="C53" s="39"/>
      <c r="D53" s="39"/>
    </row>
    <row r="54" spans="1:4">
      <c r="A54" s="39">
        <v>209.75</v>
      </c>
      <c r="B54" s="39" t="s">
        <v>92</v>
      </c>
      <c r="C54" s="39"/>
      <c r="D54" s="39"/>
    </row>
    <row r="55" spans="1:4">
      <c r="A55" s="39">
        <v>208.3</v>
      </c>
      <c r="B55" s="39" t="s">
        <v>91</v>
      </c>
      <c r="C55" s="39"/>
      <c r="D55" s="39"/>
    </row>
    <row r="56" spans="1:4">
      <c r="A56" s="39">
        <v>232.54</v>
      </c>
      <c r="B56" s="39" t="s">
        <v>91</v>
      </c>
      <c r="C56" s="39"/>
      <c r="D56" s="39"/>
    </row>
    <row r="57" spans="1:4">
      <c r="A57" s="39">
        <v>193.93</v>
      </c>
      <c r="B57" s="39" t="s">
        <v>91</v>
      </c>
      <c r="C57" s="39"/>
      <c r="D57" s="39"/>
    </row>
    <row r="58" spans="1:4">
      <c r="A58" s="39">
        <v>192.48</v>
      </c>
      <c r="B58" s="39" t="s">
        <v>91</v>
      </c>
      <c r="C58" s="39"/>
      <c r="D58" s="39"/>
    </row>
    <row r="59" spans="1:4">
      <c r="A59" s="39">
        <v>166.25</v>
      </c>
      <c r="B59" s="39" t="s">
        <v>91</v>
      </c>
      <c r="C59" s="39"/>
      <c r="D59" s="39"/>
    </row>
    <row r="60" spans="1:4">
      <c r="A60" s="39">
        <v>195.08</v>
      </c>
      <c r="B60" s="39" t="s">
        <v>91</v>
      </c>
      <c r="C60" s="39"/>
      <c r="D60" s="39"/>
    </row>
    <row r="61" spans="1:4">
      <c r="A61" s="39">
        <v>164.42</v>
      </c>
      <c r="B61" s="39" t="s">
        <v>91</v>
      </c>
      <c r="C61" s="39"/>
      <c r="D61" s="39"/>
    </row>
    <row r="62" spans="1:4">
      <c r="A62" s="39">
        <v>183.3</v>
      </c>
      <c r="B62" s="39" t="s">
        <v>91</v>
      </c>
      <c r="C62" s="39"/>
      <c r="D62" s="39"/>
    </row>
    <row r="63" spans="1:4">
      <c r="A63" s="39">
        <v>197.92</v>
      </c>
      <c r="B63" s="39" t="s">
        <v>91</v>
      </c>
      <c r="C63" s="39"/>
      <c r="D63" s="39"/>
    </row>
    <row r="64" spans="1:4">
      <c r="A64" s="39">
        <v>152.94999999999999</v>
      </c>
      <c r="B64" s="39" t="s">
        <v>91</v>
      </c>
      <c r="C64" s="39"/>
      <c r="D64" s="39"/>
    </row>
    <row r="65" spans="1:4">
      <c r="A65" s="39">
        <v>192.57</v>
      </c>
      <c r="B65" s="39" t="s">
        <v>91</v>
      </c>
      <c r="C65" s="39"/>
      <c r="D65" s="39"/>
    </row>
    <row r="66" spans="1:4">
      <c r="A66" s="39">
        <v>173.53</v>
      </c>
      <c r="B66" s="39" t="s">
        <v>91</v>
      </c>
      <c r="C66" s="39"/>
      <c r="D66" s="39"/>
    </row>
    <row r="67" spans="1:4">
      <c r="A67" s="39">
        <v>205.46</v>
      </c>
      <c r="B67" s="39" t="s">
        <v>92</v>
      </c>
      <c r="C67" s="39"/>
      <c r="D67" s="39"/>
    </row>
    <row r="68" spans="1:4">
      <c r="A68" s="39">
        <v>195.37</v>
      </c>
      <c r="B68" s="39" t="s">
        <v>91</v>
      </c>
      <c r="C68" s="39"/>
      <c r="D68" s="39"/>
    </row>
    <row r="69" spans="1:4">
      <c r="A69" s="39">
        <v>205.84</v>
      </c>
      <c r="B69" s="39" t="s">
        <v>91</v>
      </c>
      <c r="C69" s="39"/>
      <c r="D69" s="39"/>
    </row>
    <row r="70" spans="1:4">
      <c r="A70" s="39">
        <v>217.21</v>
      </c>
      <c r="B70" s="39" t="s">
        <v>91</v>
      </c>
      <c r="C70" s="39"/>
      <c r="D70" s="39"/>
    </row>
    <row r="71" spans="1:4">
      <c r="A71" s="39">
        <v>216.92</v>
      </c>
      <c r="B71" s="39" t="s">
        <v>91</v>
      </c>
      <c r="C71" s="39"/>
      <c r="D71" s="39"/>
    </row>
    <row r="72" spans="1:4">
      <c r="A72" s="39">
        <v>187.14</v>
      </c>
      <c r="B72" s="39" t="s">
        <v>91</v>
      </c>
      <c r="C72" s="39"/>
      <c r="D72" s="39"/>
    </row>
    <row r="73" spans="1:4">
      <c r="A73" s="39">
        <v>202.88</v>
      </c>
      <c r="B73" s="39" t="s">
        <v>91</v>
      </c>
      <c r="C73" s="39"/>
      <c r="D73" s="39"/>
    </row>
    <row r="74" spans="1:4">
      <c r="A74" s="39">
        <v>180.73</v>
      </c>
      <c r="B74" s="39" t="s">
        <v>91</v>
      </c>
      <c r="C74" s="39"/>
      <c r="D74" s="39"/>
    </row>
    <row r="75" spans="1:4">
      <c r="A75" s="39">
        <v>182.18</v>
      </c>
      <c r="B75" s="39" t="s">
        <v>91</v>
      </c>
      <c r="C75" s="39"/>
      <c r="D75" s="3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8F4C-0839-4D0D-BF17-E0E30B5CDAF1}">
  <dimension ref="A1:B4"/>
  <sheetViews>
    <sheetView workbookViewId="0">
      <selection activeCell="C5" sqref="C5"/>
    </sheetView>
  </sheetViews>
  <sheetFormatPr defaultRowHeight="14.4"/>
  <cols>
    <col min="1" max="1" width="14.6640625" style="31" customWidth="1"/>
  </cols>
  <sheetData>
    <row r="1" spans="1:2">
      <c r="A1" s="31" t="s">
        <v>93</v>
      </c>
      <c r="B1" t="s">
        <v>94</v>
      </c>
    </row>
    <row r="2" spans="1:2">
      <c r="A2" s="31" t="s">
        <v>95</v>
      </c>
      <c r="B2" s="29" t="s">
        <v>96</v>
      </c>
    </row>
    <row r="3" spans="1:2" ht="28.8">
      <c r="A3" s="31" t="s">
        <v>97</v>
      </c>
      <c r="B3" s="29" t="s">
        <v>98</v>
      </c>
    </row>
    <row r="4" spans="1:2" ht="28.8">
      <c r="A4" s="31" t="s">
        <v>99</v>
      </c>
      <c r="B4" s="29" t="s">
        <v>100</v>
      </c>
    </row>
  </sheetData>
  <hyperlinks>
    <hyperlink ref="B4" r:id="rId1" xr:uid="{18CBE62D-61AC-4F87-A7E4-61F08D7F9783}"/>
    <hyperlink ref="B2" r:id="rId2" display="https://www.digikey.com/en/products/detail/seeed-technology-co-ltd/114992565/13635853?gclsrc=aw.ds&amp;gad_source=1&amp;gad_campaignid=20243136172&amp;gbraid=0AAAAADrbLlihVj4K8yFeuroc6Bo3VfvP-&amp;gclid=CjwKCAiAv5bMBhAIEiwAqP9GuK3dkkd3yLwZgDn0ni2t0Ah3fUn-6KDSlx6YVf9s3tTlqBLTRBdLAxoCrKIQAvD_BwE" xr:uid="{DA69AE0D-36F8-4584-B822-4F2A187EE9EE}"/>
    <hyperlink ref="B3" r:id="rId3" xr:uid="{3590449B-D8B6-4FAC-BB01-AF19EC5FD9C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52D6-D3D1-40F4-B2FE-E45DC5B050F4}">
  <dimension ref="A1:E5"/>
  <sheetViews>
    <sheetView workbookViewId="0"/>
  </sheetViews>
  <sheetFormatPr defaultRowHeight="14.4"/>
  <cols>
    <col min="1" max="1" width="9.33203125" bestFit="1" customWidth="1"/>
    <col min="2" max="2" width="43.33203125" bestFit="1" customWidth="1"/>
    <col min="3" max="3" width="48" bestFit="1" customWidth="1"/>
    <col min="4" max="4" width="10.6640625" bestFit="1" customWidth="1"/>
  </cols>
  <sheetData>
    <row r="1" spans="1:5">
      <c r="A1" s="4" t="s">
        <v>101</v>
      </c>
      <c r="B1" s="4" t="s">
        <v>102</v>
      </c>
      <c r="C1" s="4" t="s">
        <v>103</v>
      </c>
      <c r="D1" s="4" t="s">
        <v>104</v>
      </c>
      <c r="E1" s="4" t="s">
        <v>84</v>
      </c>
    </row>
    <row r="2" spans="1:5">
      <c r="A2" s="2">
        <v>45995</v>
      </c>
      <c r="B2" t="s">
        <v>105</v>
      </c>
      <c r="C2" s="3" t="s">
        <v>106</v>
      </c>
    </row>
    <row r="3" spans="1:5">
      <c r="A3" s="2">
        <v>45995</v>
      </c>
      <c r="B3" t="s">
        <v>107</v>
      </c>
    </row>
    <row r="4" spans="1:5">
      <c r="A4" s="2">
        <v>45995</v>
      </c>
      <c r="B4" t="s">
        <v>108</v>
      </c>
      <c r="C4" t="s">
        <v>109</v>
      </c>
    </row>
    <row r="5" spans="1:5">
      <c r="A5" s="2">
        <v>45995</v>
      </c>
      <c r="B5" t="s">
        <v>110</v>
      </c>
      <c r="C5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C921-748F-4A69-8D71-AD4F9F9B6951}">
  <dimension ref="A1:J67"/>
  <sheetViews>
    <sheetView tabSelected="1" workbookViewId="0">
      <selection activeCell="G23" sqref="G23"/>
    </sheetView>
  </sheetViews>
  <sheetFormatPr defaultRowHeight="14.4"/>
  <cols>
    <col min="9" max="9" width="12.5546875" bestFit="1" customWidth="1"/>
  </cols>
  <sheetData>
    <row r="1" spans="1:10">
      <c r="A1" t="s">
        <v>152</v>
      </c>
      <c r="D1" t="s">
        <v>176</v>
      </c>
    </row>
    <row r="2" spans="1:10">
      <c r="D2" t="s">
        <v>177</v>
      </c>
      <c r="E2">
        <v>1600</v>
      </c>
    </row>
    <row r="3" spans="1:10">
      <c r="A3" t="s">
        <v>153</v>
      </c>
    </row>
    <row r="4" spans="1:10">
      <c r="A4" t="s">
        <v>154</v>
      </c>
      <c r="B4" t="s">
        <v>121</v>
      </c>
      <c r="C4" t="s">
        <v>122</v>
      </c>
      <c r="D4" t="s">
        <v>155</v>
      </c>
      <c r="E4" t="s">
        <v>124</v>
      </c>
      <c r="F4" t="s">
        <v>125</v>
      </c>
      <c r="G4" t="s">
        <v>156</v>
      </c>
      <c r="H4" t="s">
        <v>157</v>
      </c>
    </row>
    <row r="5" spans="1:10">
      <c r="A5">
        <v>6</v>
      </c>
      <c r="B5">
        <f>141.2+11</f>
        <v>152.19999999999999</v>
      </c>
      <c r="C5">
        <f>141.1+10.6</f>
        <v>151.69999999999999</v>
      </c>
      <c r="D5">
        <f>141+10.6</f>
        <v>151.6</v>
      </c>
      <c r="E5">
        <f>141.2+11.2</f>
        <v>152.39999999999998</v>
      </c>
      <c r="F5">
        <f>142.7+11</f>
        <v>153.69999999999999</v>
      </c>
      <c r="G5">
        <f>AVERAGE(B5:F5)</f>
        <v>152.32</v>
      </c>
      <c r="H5">
        <f>_xlfn.STDEV.S(B5:F5)</f>
        <v>0.84083292038311486</v>
      </c>
    </row>
    <row r="6" spans="1:10">
      <c r="A6">
        <v>8</v>
      </c>
      <c r="B6">
        <f>190.2+11.6</f>
        <v>201.79999999999998</v>
      </c>
      <c r="C6">
        <f>197.4+11.2</f>
        <v>208.6</v>
      </c>
      <c r="D6">
        <f>198.5+11.5</f>
        <v>210</v>
      </c>
      <c r="E6">
        <f>197.7+11.6</f>
        <v>209.29999999999998</v>
      </c>
      <c r="F6">
        <f>197.7+11.4</f>
        <v>209.1</v>
      </c>
      <c r="G6">
        <f t="shared" ref="G6:G12" si="0">AVERAGE(B6:F6)</f>
        <v>207.76</v>
      </c>
      <c r="H6">
        <f t="shared" ref="H6:H12" si="1">_xlfn.STDEV.S(B6:F6)</f>
        <v>3.3694213153003041</v>
      </c>
    </row>
    <row r="7" spans="1:10">
      <c r="A7">
        <v>10</v>
      </c>
      <c r="B7">
        <f>247.7+10.8</f>
        <v>258.5</v>
      </c>
      <c r="C7">
        <f>245.6+10.7</f>
        <v>256.3</v>
      </c>
      <c r="D7">
        <f>247.3+11</f>
        <v>258.3</v>
      </c>
      <c r="E7">
        <f>246.6+11</f>
        <v>257.60000000000002</v>
      </c>
      <c r="F7">
        <f>245.9+11</f>
        <v>256.89999999999998</v>
      </c>
      <c r="G7">
        <f t="shared" si="0"/>
        <v>257.52</v>
      </c>
      <c r="H7">
        <f t="shared" si="1"/>
        <v>0.92843955107481579</v>
      </c>
    </row>
    <row r="8" spans="1:10">
      <c r="A8">
        <v>12</v>
      </c>
      <c r="B8">
        <v>303.7</v>
      </c>
      <c r="C8">
        <f>309.1+11</f>
        <v>320.10000000000002</v>
      </c>
      <c r="D8">
        <f>305+11</f>
        <v>316</v>
      </c>
      <c r="E8">
        <f>298.5+11</f>
        <v>309.5</v>
      </c>
      <c r="F8">
        <f>297.7+11</f>
        <v>308.7</v>
      </c>
      <c r="G8">
        <f t="shared" si="0"/>
        <v>311.60000000000002</v>
      </c>
      <c r="H8">
        <f t="shared" si="1"/>
        <v>6.4583279569870209</v>
      </c>
    </row>
    <row r="9" spans="1:10">
      <c r="A9">
        <v>14</v>
      </c>
      <c r="B9">
        <f>344.2+11</f>
        <v>355.2</v>
      </c>
      <c r="C9">
        <f>349.2+11</f>
        <v>360.2</v>
      </c>
      <c r="D9">
        <f>351.1+11</f>
        <v>362.1</v>
      </c>
      <c r="E9">
        <f>351.5+11</f>
        <v>362.5</v>
      </c>
      <c r="F9">
        <f>350.4+11</f>
        <v>361.4</v>
      </c>
      <c r="G9">
        <f t="shared" si="0"/>
        <v>360.28000000000003</v>
      </c>
      <c r="H9">
        <f t="shared" si="1"/>
        <v>2.9710267585466203</v>
      </c>
    </row>
    <row r="10" spans="1:10">
      <c r="A10">
        <v>16</v>
      </c>
      <c r="B10">
        <f>411.2+11</f>
        <v>422.2</v>
      </c>
      <c r="C10">
        <f>405.9+11</f>
        <v>416.9</v>
      </c>
      <c r="D10">
        <f>406.1+11</f>
        <v>417.1</v>
      </c>
      <c r="E10">
        <f>404.4+11</f>
        <v>415.4</v>
      </c>
      <c r="F10">
        <f>403.8+11</f>
        <v>414.8</v>
      </c>
      <c r="G10">
        <f t="shared" si="0"/>
        <v>417.28000000000003</v>
      </c>
      <c r="H10">
        <f t="shared" si="1"/>
        <v>2.9183899670880145</v>
      </c>
    </row>
    <row r="11" spans="1:10">
      <c r="A11">
        <v>18</v>
      </c>
      <c r="B11">
        <f>461.5+11</f>
        <v>472.5</v>
      </c>
      <c r="C11">
        <f>460.9+11</f>
        <v>471.9</v>
      </c>
      <c r="D11">
        <f>461.8+11</f>
        <v>472.8</v>
      </c>
      <c r="E11">
        <f>460.5+11</f>
        <v>471.5</v>
      </c>
      <c r="F11">
        <f>461+11</f>
        <v>472</v>
      </c>
      <c r="G11">
        <f t="shared" si="0"/>
        <v>472.14</v>
      </c>
      <c r="H11">
        <f t="shared" si="1"/>
        <v>0.5128352561983297</v>
      </c>
    </row>
    <row r="12" spans="1:10">
      <c r="A12">
        <v>20</v>
      </c>
      <c r="B12">
        <f>524.4+11</f>
        <v>535.4</v>
      </c>
      <c r="C12">
        <f>527+11</f>
        <v>538</v>
      </c>
      <c r="D12">
        <f>527+11</f>
        <v>538</v>
      </c>
      <c r="E12">
        <f>527.1+11</f>
        <v>538.1</v>
      </c>
      <c r="F12">
        <f>527.1+11</f>
        <v>538.1</v>
      </c>
      <c r="G12">
        <f t="shared" si="0"/>
        <v>537.52</v>
      </c>
      <c r="H12">
        <f t="shared" si="1"/>
        <v>1.1861703081767125</v>
      </c>
    </row>
    <row r="14" spans="1:10">
      <c r="A14" t="s">
        <v>158</v>
      </c>
    </row>
    <row r="15" spans="1:10">
      <c r="A15" t="s">
        <v>154</v>
      </c>
      <c r="B15" t="s">
        <v>121</v>
      </c>
      <c r="C15" t="s">
        <v>122</v>
      </c>
      <c r="D15" t="s">
        <v>155</v>
      </c>
      <c r="E15" t="s">
        <v>124</v>
      </c>
      <c r="F15" t="s">
        <v>125</v>
      </c>
      <c r="G15" t="s">
        <v>156</v>
      </c>
      <c r="H15" t="s">
        <v>157</v>
      </c>
      <c r="I15" t="s">
        <v>159</v>
      </c>
      <c r="J15" t="s">
        <v>160</v>
      </c>
    </row>
    <row r="16" spans="1:10">
      <c r="A16">
        <v>6</v>
      </c>
      <c r="B16">
        <v>96.3</v>
      </c>
      <c r="C16">
        <v>96.5</v>
      </c>
      <c r="D16">
        <v>96.4</v>
      </c>
      <c r="E16">
        <v>96.5</v>
      </c>
      <c r="F16">
        <v>96.5</v>
      </c>
      <c r="G16">
        <f>AVERAGE(B16:F16)</f>
        <v>96.440000000000012</v>
      </c>
      <c r="H16">
        <f>_xlfn.STDEV.S(B16:F16)</f>
        <v>8.944271909999206E-2</v>
      </c>
      <c r="I16">
        <v>11</v>
      </c>
      <c r="J16">
        <f>G16+10.5</f>
        <v>106.94000000000001</v>
      </c>
    </row>
    <row r="17" spans="1:10">
      <c r="A17">
        <v>8</v>
      </c>
      <c r="B17">
        <v>153.80000000000001</v>
      </c>
      <c r="C17">
        <v>151.9</v>
      </c>
      <c r="D17">
        <v>152.5</v>
      </c>
      <c r="E17">
        <v>152.30000000000001</v>
      </c>
      <c r="F17">
        <v>152.9</v>
      </c>
      <c r="G17">
        <f t="shared" ref="G17:G23" si="2">AVERAGE(B17:F17)</f>
        <v>152.68</v>
      </c>
      <c r="H17">
        <f t="shared" ref="H17:H23" si="3">_xlfn.STDEV.S(B17:F17)</f>
        <v>0.72249567472753951</v>
      </c>
      <c r="I17">
        <v>10.5</v>
      </c>
      <c r="J17">
        <f t="shared" ref="J17:J23" si="4">G17+10.5</f>
        <v>163.18</v>
      </c>
    </row>
    <row r="18" spans="1:10">
      <c r="A18">
        <v>10</v>
      </c>
      <c r="B18">
        <v>176.6</v>
      </c>
      <c r="C18">
        <v>173.2</v>
      </c>
      <c r="D18">
        <v>173.3</v>
      </c>
      <c r="E18">
        <v>173.5</v>
      </c>
      <c r="F18">
        <v>173.4</v>
      </c>
      <c r="G18">
        <f t="shared" si="2"/>
        <v>173.99999999999997</v>
      </c>
      <c r="H18">
        <f t="shared" si="3"/>
        <v>1.4577379737113223</v>
      </c>
      <c r="I18">
        <v>10.5</v>
      </c>
      <c r="J18">
        <f t="shared" si="4"/>
        <v>184.49999999999997</v>
      </c>
    </row>
    <row r="19" spans="1:10">
      <c r="A19">
        <v>12</v>
      </c>
      <c r="B19">
        <v>219.4</v>
      </c>
      <c r="C19">
        <v>224.1</v>
      </c>
      <c r="D19">
        <v>224.3</v>
      </c>
      <c r="E19">
        <v>224</v>
      </c>
      <c r="F19">
        <v>222.9</v>
      </c>
      <c r="G19">
        <f t="shared" si="2"/>
        <v>222.94</v>
      </c>
      <c r="H19">
        <f t="shared" si="3"/>
        <v>2.0525593779474431</v>
      </c>
      <c r="J19">
        <f t="shared" si="4"/>
        <v>233.44</v>
      </c>
    </row>
    <row r="20" spans="1:10">
      <c r="A20">
        <v>14</v>
      </c>
      <c r="B20">
        <v>265.89999999999998</v>
      </c>
      <c r="C20">
        <v>269.10000000000002</v>
      </c>
      <c r="D20">
        <v>268.2</v>
      </c>
      <c r="E20">
        <v>268.60000000000002</v>
      </c>
      <c r="F20">
        <v>268.7</v>
      </c>
      <c r="G20">
        <f t="shared" si="2"/>
        <v>268.10000000000002</v>
      </c>
      <c r="H20">
        <f t="shared" si="3"/>
        <v>1.2708265027138985</v>
      </c>
      <c r="J20">
        <f t="shared" si="4"/>
        <v>278.60000000000002</v>
      </c>
    </row>
    <row r="21" spans="1:10">
      <c r="A21">
        <v>16</v>
      </c>
      <c r="B21">
        <v>315.89999999999998</v>
      </c>
      <c r="C21">
        <v>314.5</v>
      </c>
      <c r="D21">
        <v>311.60000000000002</v>
      </c>
      <c r="E21">
        <v>312.60000000000002</v>
      </c>
      <c r="F21">
        <v>310.5</v>
      </c>
      <c r="G21">
        <f t="shared" si="2"/>
        <v>313.02</v>
      </c>
      <c r="H21">
        <f t="shared" si="3"/>
        <v>2.1810547906918676</v>
      </c>
      <c r="J21">
        <f t="shared" si="4"/>
        <v>323.52</v>
      </c>
    </row>
    <row r="22" spans="1:10">
      <c r="A22">
        <v>18</v>
      </c>
      <c r="B22">
        <v>359.5</v>
      </c>
      <c r="C22">
        <v>359</v>
      </c>
      <c r="D22">
        <v>358.9</v>
      </c>
      <c r="E22">
        <v>358.2</v>
      </c>
      <c r="F22">
        <v>359.8</v>
      </c>
      <c r="G22">
        <f t="shared" si="2"/>
        <v>359.08000000000004</v>
      </c>
      <c r="H22">
        <f t="shared" si="3"/>
        <v>0.6140032573203591</v>
      </c>
      <c r="J22">
        <f t="shared" si="4"/>
        <v>369.58000000000004</v>
      </c>
    </row>
    <row r="23" spans="1:10">
      <c r="A23">
        <v>20</v>
      </c>
      <c r="B23">
        <v>414.8</v>
      </c>
      <c r="C23">
        <v>414.5</v>
      </c>
      <c r="D23">
        <v>417.8</v>
      </c>
      <c r="E23">
        <v>414.4</v>
      </c>
      <c r="F23">
        <v>415.8</v>
      </c>
      <c r="G23">
        <f t="shared" si="2"/>
        <v>415.46000000000004</v>
      </c>
      <c r="H23">
        <f t="shared" si="3"/>
        <v>1.4205632685663891</v>
      </c>
      <c r="J23">
        <f t="shared" si="4"/>
        <v>425.96000000000004</v>
      </c>
    </row>
    <row r="25" spans="1:10">
      <c r="A25" t="s">
        <v>161</v>
      </c>
    </row>
    <row r="26" spans="1:10">
      <c r="A26" t="s">
        <v>154</v>
      </c>
      <c r="B26" t="s">
        <v>121</v>
      </c>
      <c r="C26" t="s">
        <v>122</v>
      </c>
      <c r="D26" t="s">
        <v>155</v>
      </c>
      <c r="E26" t="s">
        <v>124</v>
      </c>
      <c r="F26" t="s">
        <v>125</v>
      </c>
      <c r="G26" t="s">
        <v>156</v>
      </c>
      <c r="H26" t="s">
        <v>157</v>
      </c>
      <c r="J26" t="s">
        <v>160</v>
      </c>
    </row>
    <row r="27" spans="1:10">
      <c r="A27">
        <v>6</v>
      </c>
      <c r="B27">
        <v>48.5</v>
      </c>
      <c r="C27">
        <v>47.9</v>
      </c>
      <c r="D27">
        <v>47.2</v>
      </c>
      <c r="E27">
        <v>48.1</v>
      </c>
      <c r="F27">
        <v>48.1</v>
      </c>
      <c r="G27">
        <f>AVERAGE(B27:F27)</f>
        <v>47.96</v>
      </c>
      <c r="H27">
        <f>_xlfn.STDEV.S(B27:F27)</f>
        <v>0.47749345545253202</v>
      </c>
      <c r="I27">
        <v>-11</v>
      </c>
      <c r="J27">
        <f>G27+11</f>
        <v>58.96</v>
      </c>
    </row>
    <row r="28" spans="1:10">
      <c r="A28">
        <v>8</v>
      </c>
      <c r="B28">
        <v>80.8</v>
      </c>
      <c r="C28">
        <v>80.599999999999994</v>
      </c>
      <c r="D28">
        <v>80.400000000000006</v>
      </c>
      <c r="E28">
        <v>80.7</v>
      </c>
      <c r="F28">
        <v>80.599999999999994</v>
      </c>
      <c r="G28">
        <f t="shared" ref="G28:G34" si="5">AVERAGE(B28:F28)</f>
        <v>80.62</v>
      </c>
      <c r="H28">
        <f t="shared" ref="H28:H34" si="6">_xlfn.STDEV.S(B28:F28)</f>
        <v>0.14832396974191106</v>
      </c>
      <c r="I28">
        <v>-10</v>
      </c>
      <c r="J28">
        <f t="shared" ref="J28:J34" si="7">G28+11</f>
        <v>91.62</v>
      </c>
    </row>
    <row r="29" spans="1:10">
      <c r="A29">
        <v>10</v>
      </c>
      <c r="B29">
        <v>96.2</v>
      </c>
      <c r="C29">
        <v>94.8</v>
      </c>
      <c r="D29">
        <v>94.6</v>
      </c>
      <c r="E29">
        <v>94.6</v>
      </c>
      <c r="F29">
        <v>94.7</v>
      </c>
      <c r="G29">
        <f t="shared" si="5"/>
        <v>94.98</v>
      </c>
      <c r="H29">
        <f t="shared" si="6"/>
        <v>0.68702256149270946</v>
      </c>
      <c r="J29">
        <f t="shared" si="7"/>
        <v>105.98</v>
      </c>
    </row>
    <row r="30" spans="1:10">
      <c r="A30">
        <v>12</v>
      </c>
      <c r="B30">
        <v>121.7</v>
      </c>
      <c r="C30">
        <v>123.5</v>
      </c>
      <c r="D30">
        <v>124.1</v>
      </c>
      <c r="E30">
        <v>123.5</v>
      </c>
      <c r="F30">
        <v>124</v>
      </c>
      <c r="G30">
        <f t="shared" si="5"/>
        <v>123.35999999999999</v>
      </c>
      <c r="H30">
        <f t="shared" si="6"/>
        <v>0.96850400102425782</v>
      </c>
      <c r="J30">
        <f t="shared" si="7"/>
        <v>134.35999999999999</v>
      </c>
    </row>
    <row r="31" spans="1:10">
      <c r="A31">
        <v>14</v>
      </c>
      <c r="B31">
        <v>150.9</v>
      </c>
      <c r="C31">
        <v>151.9</v>
      </c>
      <c r="D31">
        <v>151.69999999999999</v>
      </c>
      <c r="E31">
        <v>151.9</v>
      </c>
      <c r="F31">
        <v>152.1</v>
      </c>
      <c r="G31">
        <f t="shared" si="5"/>
        <v>151.69999999999999</v>
      </c>
      <c r="H31">
        <f t="shared" si="6"/>
        <v>0.46904157598234053</v>
      </c>
      <c r="J31">
        <f t="shared" si="7"/>
        <v>162.69999999999999</v>
      </c>
    </row>
    <row r="32" spans="1:10">
      <c r="A32">
        <v>16</v>
      </c>
      <c r="B32">
        <v>179.2</v>
      </c>
      <c r="C32">
        <v>177.7</v>
      </c>
      <c r="D32">
        <v>178.5</v>
      </c>
      <c r="E32">
        <v>178.7</v>
      </c>
      <c r="F32">
        <v>177.3</v>
      </c>
      <c r="G32">
        <f t="shared" si="5"/>
        <v>178.27999999999997</v>
      </c>
      <c r="H32">
        <f t="shared" si="6"/>
        <v>0.76941536246684739</v>
      </c>
      <c r="J32">
        <f t="shared" si="7"/>
        <v>189.27999999999997</v>
      </c>
    </row>
    <row r="33" spans="1:10">
      <c r="A33">
        <v>18</v>
      </c>
      <c r="B33">
        <v>207.8</v>
      </c>
      <c r="C33">
        <v>207</v>
      </c>
      <c r="D33">
        <v>207.1</v>
      </c>
      <c r="E33">
        <v>207</v>
      </c>
      <c r="F33">
        <v>207.4</v>
      </c>
      <c r="G33">
        <f t="shared" si="5"/>
        <v>207.26</v>
      </c>
      <c r="H33">
        <f t="shared" si="6"/>
        <v>0.34351128074635906</v>
      </c>
      <c r="J33">
        <f t="shared" si="7"/>
        <v>218.26</v>
      </c>
    </row>
    <row r="34" spans="1:10">
      <c r="A34">
        <v>20</v>
      </c>
      <c r="B34">
        <v>238.9</v>
      </c>
      <c r="C34">
        <v>238.8</v>
      </c>
      <c r="D34">
        <v>237.6</v>
      </c>
      <c r="E34">
        <v>237.9</v>
      </c>
      <c r="F34">
        <v>237.8</v>
      </c>
      <c r="G34">
        <f t="shared" si="5"/>
        <v>238.2</v>
      </c>
      <c r="H34">
        <f t="shared" si="6"/>
        <v>0.60415229867973186</v>
      </c>
      <c r="J34">
        <f t="shared" si="7"/>
        <v>249.2</v>
      </c>
    </row>
    <row r="39" spans="1:10">
      <c r="B39" t="s">
        <v>162</v>
      </c>
    </row>
    <row r="40" spans="1:10">
      <c r="B40" t="s">
        <v>165</v>
      </c>
      <c r="C40">
        <v>4347.8620000000001</v>
      </c>
      <c r="D40" t="s">
        <v>163</v>
      </c>
    </row>
    <row r="41" spans="1:10">
      <c r="B41" t="s">
        <v>166</v>
      </c>
      <c r="C41">
        <v>444.44400000000002</v>
      </c>
      <c r="D41" t="s">
        <v>164</v>
      </c>
    </row>
    <row r="44" spans="1:10">
      <c r="A44" t="s">
        <v>167</v>
      </c>
    </row>
    <row r="46" spans="1:10">
      <c r="A46" t="s">
        <v>169</v>
      </c>
    </row>
    <row r="47" spans="1:10">
      <c r="A47" t="s">
        <v>154</v>
      </c>
      <c r="B47" t="s">
        <v>121</v>
      </c>
      <c r="C47" t="s">
        <v>122</v>
      </c>
      <c r="D47" t="s">
        <v>155</v>
      </c>
      <c r="E47" t="s">
        <v>124</v>
      </c>
      <c r="F47" t="s">
        <v>125</v>
      </c>
      <c r="G47" t="s">
        <v>156</v>
      </c>
      <c r="H47" t="s">
        <v>157</v>
      </c>
    </row>
    <row r="48" spans="1:10">
      <c r="A48">
        <v>2</v>
      </c>
      <c r="B48">
        <f>16.6+1.5</f>
        <v>18.100000000000001</v>
      </c>
      <c r="C48">
        <f>16.9+1.5</f>
        <v>18.399999999999999</v>
      </c>
      <c r="D48">
        <f>16.8+1.3</f>
        <v>18.100000000000001</v>
      </c>
      <c r="E48">
        <f>16.7+1.5</f>
        <v>18.2</v>
      </c>
      <c r="F48">
        <f>16.7+1.3</f>
        <v>18</v>
      </c>
      <c r="G48">
        <f>AVERAGE(B48:F48)</f>
        <v>18.16</v>
      </c>
      <c r="H48">
        <f>_xlfn.STDEV.S(B48:F48)</f>
        <v>0.15165750888103011</v>
      </c>
    </row>
    <row r="49" spans="1:8">
      <c r="A49">
        <v>4</v>
      </c>
      <c r="B49">
        <f>29.5+1.4</f>
        <v>30.9</v>
      </c>
      <c r="C49">
        <f>30.3+1.4</f>
        <v>31.7</v>
      </c>
      <c r="D49">
        <f>31.2+1.4</f>
        <v>32.6</v>
      </c>
      <c r="E49">
        <f>30.5+1.3</f>
        <v>31.8</v>
      </c>
      <c r="F49">
        <f>31.3+1.3</f>
        <v>32.6</v>
      </c>
      <c r="G49">
        <f t="shared" ref="G49:G52" si="8">AVERAGE(B49:F49)</f>
        <v>31.919999999999998</v>
      </c>
      <c r="H49">
        <f t="shared" ref="H49:H52" si="9">_xlfn.STDEV.S(B49:F49)</f>
        <v>0.71203932475671716</v>
      </c>
    </row>
    <row r="50" spans="1:8">
      <c r="A50">
        <v>6</v>
      </c>
      <c r="B50">
        <f>49.9+1.5</f>
        <v>51.4</v>
      </c>
      <c r="C50">
        <f>49.3+1.5</f>
        <v>50.8</v>
      </c>
      <c r="D50">
        <f>49.3+1</f>
        <v>50.3</v>
      </c>
      <c r="E50">
        <f>50.3+1</f>
        <v>51.3</v>
      </c>
      <c r="F50">
        <f>50.4+1.3</f>
        <v>51.699999999999996</v>
      </c>
      <c r="G50">
        <f t="shared" si="8"/>
        <v>51.1</v>
      </c>
      <c r="H50">
        <f t="shared" si="9"/>
        <v>0.55226805085936281</v>
      </c>
    </row>
    <row r="51" spans="1:8">
      <c r="A51">
        <v>8</v>
      </c>
      <c r="B51">
        <f>68.8+1.3</f>
        <v>70.099999999999994</v>
      </c>
      <c r="C51">
        <f>68.2+1.2</f>
        <v>69.400000000000006</v>
      </c>
      <c r="D51">
        <f>67.3+1.2</f>
        <v>68.5</v>
      </c>
      <c r="E51">
        <f>68.4+1.3</f>
        <v>69.7</v>
      </c>
      <c r="F51">
        <f>68.3+1.3</f>
        <v>69.599999999999994</v>
      </c>
      <c r="G51">
        <f t="shared" si="8"/>
        <v>69.459999999999994</v>
      </c>
      <c r="H51">
        <f t="shared" si="9"/>
        <v>0.59413803110051622</v>
      </c>
    </row>
    <row r="52" spans="1:8">
      <c r="A52">
        <v>10</v>
      </c>
      <c r="B52">
        <f>86.5+1.3</f>
        <v>87.8</v>
      </c>
      <c r="C52">
        <f>86.2+1.3</f>
        <v>87.5</v>
      </c>
      <c r="D52">
        <f>88.1+1.3</f>
        <v>89.399999999999991</v>
      </c>
      <c r="E52">
        <f>87.2+1.3</f>
        <v>88.5</v>
      </c>
      <c r="F52">
        <f>87.4+1.3</f>
        <v>88.7</v>
      </c>
      <c r="G52">
        <f t="shared" si="8"/>
        <v>88.38</v>
      </c>
      <c r="H52">
        <f t="shared" si="9"/>
        <v>0.75299402388066594</v>
      </c>
    </row>
    <row r="57" spans="1:8">
      <c r="A57" t="s">
        <v>168</v>
      </c>
    </row>
    <row r="58" spans="1:8">
      <c r="A58" t="s">
        <v>154</v>
      </c>
      <c r="B58" t="s">
        <v>121</v>
      </c>
      <c r="C58" t="s">
        <v>122</v>
      </c>
      <c r="D58" t="s">
        <v>155</v>
      </c>
      <c r="E58" t="s">
        <v>124</v>
      </c>
      <c r="F58" t="s">
        <v>125</v>
      </c>
      <c r="G58" t="s">
        <v>156</v>
      </c>
      <c r="H58" t="s">
        <v>157</v>
      </c>
    </row>
    <row r="59" spans="1:8">
      <c r="A59">
        <v>2</v>
      </c>
      <c r="B59">
        <f>12-0.7</f>
        <v>11.3</v>
      </c>
      <c r="C59">
        <f>12.3-0.6</f>
        <v>11.700000000000001</v>
      </c>
      <c r="D59">
        <f>12.3-0.6</f>
        <v>11.700000000000001</v>
      </c>
      <c r="E59">
        <f>12.2-0.4</f>
        <v>11.799999999999999</v>
      </c>
      <c r="F59">
        <f>12.1-0.4</f>
        <v>11.7</v>
      </c>
      <c r="G59">
        <f>AVERAGE(B59:F59)</f>
        <v>11.64</v>
      </c>
      <c r="H59">
        <f>_xlfn.STDEV.S(B59:F59)</f>
        <v>0.19493588689617886</v>
      </c>
    </row>
    <row r="60" spans="1:8">
      <c r="A60">
        <v>4</v>
      </c>
      <c r="B60">
        <f>26.6-0.4</f>
        <v>26.200000000000003</v>
      </c>
      <c r="C60">
        <f>26.1-0.4</f>
        <v>25.700000000000003</v>
      </c>
      <c r="D60">
        <f>26.1-0.4</f>
        <v>25.700000000000003</v>
      </c>
      <c r="E60">
        <f>26-0.4</f>
        <v>25.6</v>
      </c>
      <c r="F60">
        <f>27.1-0.4</f>
        <v>26.700000000000003</v>
      </c>
      <c r="G60">
        <f t="shared" ref="G60:G63" si="10">AVERAGE(B60:F60)</f>
        <v>25.980000000000008</v>
      </c>
      <c r="H60">
        <f t="shared" ref="H60:H63" si="11">_xlfn.STDEV.S(B60:F60)</f>
        <v>0.46583258795408489</v>
      </c>
    </row>
    <row r="61" spans="1:8">
      <c r="A61">
        <v>6</v>
      </c>
      <c r="B61">
        <f>36.3-0.4</f>
        <v>35.9</v>
      </c>
      <c r="C61">
        <f>36.7-0.4</f>
        <v>36.300000000000004</v>
      </c>
      <c r="D61">
        <f>36.6-0.3</f>
        <v>36.300000000000004</v>
      </c>
      <c r="E61">
        <f>36.3-0.3</f>
        <v>36</v>
      </c>
      <c r="F61">
        <f>36.7-0.3</f>
        <v>36.400000000000006</v>
      </c>
      <c r="G61">
        <f t="shared" si="10"/>
        <v>36.18</v>
      </c>
      <c r="H61">
        <f t="shared" si="11"/>
        <v>0.21679483388679108</v>
      </c>
    </row>
    <row r="62" spans="1:8">
      <c r="A62">
        <v>8</v>
      </c>
      <c r="B62">
        <f>51.2-0.3</f>
        <v>50.900000000000006</v>
      </c>
      <c r="C62">
        <f>51.2-0.3</f>
        <v>50.900000000000006</v>
      </c>
      <c r="D62">
        <f>51-0.3</f>
        <v>50.7</v>
      </c>
      <c r="E62">
        <f>51.5-0.2</f>
        <v>51.3</v>
      </c>
      <c r="F62">
        <f>52.3-0.3</f>
        <v>52</v>
      </c>
      <c r="G62">
        <f t="shared" si="10"/>
        <v>51.160000000000004</v>
      </c>
      <c r="H62">
        <f t="shared" si="11"/>
        <v>0.51768716422178918</v>
      </c>
    </row>
    <row r="63" spans="1:8">
      <c r="A63">
        <v>10</v>
      </c>
      <c r="B63">
        <f>65.5-0.3</f>
        <v>65.2</v>
      </c>
      <c r="C63">
        <f>66.2-0.3</f>
        <v>65.900000000000006</v>
      </c>
      <c r="D63">
        <f>64.8-0.3</f>
        <v>64.5</v>
      </c>
      <c r="E63">
        <f>64-0.2</f>
        <v>63.8</v>
      </c>
      <c r="F63">
        <f>64.7-0.2</f>
        <v>64.5</v>
      </c>
      <c r="G63">
        <f t="shared" si="10"/>
        <v>64.78</v>
      </c>
      <c r="H63">
        <f t="shared" si="11"/>
        <v>0.79812279756939986</v>
      </c>
    </row>
    <row r="65" spans="1:4">
      <c r="A65" t="s">
        <v>170</v>
      </c>
    </row>
    <row r="66" spans="1:4">
      <c r="A66" t="s">
        <v>171</v>
      </c>
      <c r="B66" t="s">
        <v>173</v>
      </c>
      <c r="C66" t="s">
        <v>174</v>
      </c>
      <c r="D66" t="s">
        <v>175</v>
      </c>
    </row>
    <row r="67" spans="1:4">
      <c r="A67" t="s">
        <v>172</v>
      </c>
      <c r="B67">
        <v>173</v>
      </c>
      <c r="C67">
        <v>144</v>
      </c>
      <c r="D67">
        <v>151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BEC5-36F6-4949-80AE-44389FCC4A1C}">
  <dimension ref="A1:Z53"/>
  <sheetViews>
    <sheetView zoomScale="110" zoomScaleNormal="110" workbookViewId="0">
      <selection activeCell="A47" sqref="A47"/>
    </sheetView>
  </sheetViews>
  <sheetFormatPr defaultRowHeight="14.4"/>
  <cols>
    <col min="1" max="2" width="15.44140625" customWidth="1"/>
    <col min="3" max="3" width="19.33203125" customWidth="1"/>
    <col min="4" max="5" width="16.33203125" customWidth="1"/>
    <col min="6" max="7" width="16" customWidth="1"/>
    <col min="8" max="8" width="16.33203125" customWidth="1"/>
  </cols>
  <sheetData>
    <row r="1" spans="1:26">
      <c r="A1" t="s">
        <v>112</v>
      </c>
      <c r="I1" s="42" t="s">
        <v>87</v>
      </c>
      <c r="J1" s="42"/>
      <c r="K1" s="42"/>
      <c r="L1" s="42"/>
      <c r="M1" s="42"/>
    </row>
    <row r="2" spans="1:26" ht="28.8">
      <c r="A2" s="1" t="s">
        <v>113</v>
      </c>
      <c r="B2" s="1" t="s">
        <v>114</v>
      </c>
      <c r="C2" s="1" t="s">
        <v>115</v>
      </c>
      <c r="D2" s="1" t="s">
        <v>116</v>
      </c>
      <c r="E2" s="1" t="s">
        <v>117</v>
      </c>
      <c r="F2" s="34" t="s">
        <v>118</v>
      </c>
      <c r="G2" s="34" t="s">
        <v>119</v>
      </c>
      <c r="H2" s="1" t="s">
        <v>120</v>
      </c>
      <c r="I2" s="37" t="s">
        <v>121</v>
      </c>
      <c r="J2" s="37" t="s">
        <v>122</v>
      </c>
      <c r="K2" s="37" t="s">
        <v>123</v>
      </c>
      <c r="L2" s="37" t="s">
        <v>124</v>
      </c>
      <c r="M2" s="37" t="s">
        <v>125</v>
      </c>
      <c r="N2" s="1" t="s">
        <v>126</v>
      </c>
      <c r="O2" s="1" t="s">
        <v>127</v>
      </c>
      <c r="P2" s="1" t="s">
        <v>128</v>
      </c>
    </row>
    <row r="3" spans="1:26">
      <c r="A3">
        <v>1600</v>
      </c>
      <c r="B3">
        <v>5</v>
      </c>
      <c r="C3">
        <v>1</v>
      </c>
      <c r="D3">
        <f>8</f>
        <v>8</v>
      </c>
      <c r="E3">
        <f t="shared" ref="E3:E10" si="0">INT(0.5*H3/(C3*(D3-B3)))</f>
        <v>133</v>
      </c>
      <c r="F3">
        <f t="shared" ref="F3:F11" si="1">IF(E3&gt;20, 20, E3)</f>
        <v>20</v>
      </c>
      <c r="G3">
        <f t="shared" ref="G3:G10" si="2">F3*(D3-B3)/C3</f>
        <v>60</v>
      </c>
      <c r="H3">
        <f t="shared" ref="H3:H11" si="3">0.5*A3</f>
        <v>800</v>
      </c>
      <c r="I3" s="36">
        <v>159.9</v>
      </c>
      <c r="J3" s="36">
        <v>150.9</v>
      </c>
      <c r="K3" s="36">
        <v>158.5</v>
      </c>
      <c r="L3" s="36">
        <v>137.4</v>
      </c>
      <c r="M3" s="36">
        <v>158.4</v>
      </c>
      <c r="N3" s="38">
        <f t="shared" ref="N3:N11" si="4">GEOMEAN(I3:M3)</f>
        <v>152.7783361594953</v>
      </c>
      <c r="O3" s="38">
        <f t="shared" ref="O3:O11" si="5">_xlfn.STDEV.P(I3:M3)</f>
        <v>8.4236334203240339</v>
      </c>
      <c r="P3" s="38">
        <f t="shared" ref="P3:P14" si="6">N3/4347.826</f>
        <v>3.5139018019464278E-2</v>
      </c>
      <c r="Z3" t="s">
        <v>129</v>
      </c>
    </row>
    <row r="4" spans="1:26">
      <c r="A4">
        <v>1600</v>
      </c>
      <c r="B4">
        <v>5</v>
      </c>
      <c r="C4">
        <v>1</v>
      </c>
      <c r="D4">
        <f t="shared" ref="D4:D11" si="7">D3+2</f>
        <v>10</v>
      </c>
      <c r="E4">
        <f t="shared" si="0"/>
        <v>80</v>
      </c>
      <c r="F4">
        <f t="shared" si="1"/>
        <v>20</v>
      </c>
      <c r="G4">
        <f t="shared" si="2"/>
        <v>100</v>
      </c>
      <c r="H4">
        <f t="shared" si="3"/>
        <v>800</v>
      </c>
      <c r="I4" s="36">
        <v>228.9</v>
      </c>
      <c r="J4" s="36">
        <v>252.6</v>
      </c>
      <c r="K4" s="36">
        <v>236.6</v>
      </c>
      <c r="L4" s="36">
        <v>257.5</v>
      </c>
      <c r="M4" s="36">
        <v>261</v>
      </c>
      <c r="N4" s="38">
        <f t="shared" si="4"/>
        <v>247.00305455455344</v>
      </c>
      <c r="O4" s="38">
        <f t="shared" si="5"/>
        <v>12.432763168338726</v>
      </c>
      <c r="P4" s="38">
        <f t="shared" si="6"/>
        <v>5.6810703683761364E-2</v>
      </c>
    </row>
    <row r="5" spans="1:26">
      <c r="A5">
        <v>1600</v>
      </c>
      <c r="B5">
        <v>5</v>
      </c>
      <c r="C5">
        <v>1</v>
      </c>
      <c r="D5">
        <f t="shared" si="7"/>
        <v>12</v>
      </c>
      <c r="E5">
        <f t="shared" si="0"/>
        <v>57</v>
      </c>
      <c r="F5">
        <f t="shared" si="1"/>
        <v>20</v>
      </c>
      <c r="G5">
        <f t="shared" si="2"/>
        <v>140</v>
      </c>
      <c r="H5">
        <f t="shared" si="3"/>
        <v>800</v>
      </c>
      <c r="I5" s="36">
        <v>311.10000000000002</v>
      </c>
      <c r="J5" s="36">
        <v>326.3</v>
      </c>
      <c r="K5" s="36">
        <v>308.8</v>
      </c>
      <c r="L5" s="36">
        <v>324.5</v>
      </c>
      <c r="M5" s="36">
        <v>312.2</v>
      </c>
      <c r="N5" s="38">
        <f t="shared" si="4"/>
        <v>316.49612365566736</v>
      </c>
      <c r="O5" s="38">
        <f t="shared" si="5"/>
        <v>7.3068187332107799</v>
      </c>
      <c r="P5" s="38">
        <f t="shared" si="6"/>
        <v>7.2794109896685694E-2</v>
      </c>
      <c r="Z5">
        <v>500</v>
      </c>
    </row>
    <row r="6" spans="1:26">
      <c r="A6">
        <v>1600</v>
      </c>
      <c r="B6">
        <v>5</v>
      </c>
      <c r="C6">
        <v>1</v>
      </c>
      <c r="D6">
        <f t="shared" si="7"/>
        <v>14</v>
      </c>
      <c r="E6">
        <f t="shared" si="0"/>
        <v>44</v>
      </c>
      <c r="F6">
        <f t="shared" si="1"/>
        <v>20</v>
      </c>
      <c r="G6">
        <f t="shared" si="2"/>
        <v>180</v>
      </c>
      <c r="H6">
        <f t="shared" si="3"/>
        <v>800</v>
      </c>
      <c r="I6" s="36">
        <v>396.6</v>
      </c>
      <c r="J6" s="36">
        <v>394.9</v>
      </c>
      <c r="K6" s="36">
        <v>389.9</v>
      </c>
      <c r="L6" s="36">
        <v>403.8</v>
      </c>
      <c r="M6" s="36">
        <v>391.9</v>
      </c>
      <c r="N6" s="38">
        <f t="shared" si="4"/>
        <v>395.39113821804767</v>
      </c>
      <c r="O6" s="38">
        <f t="shared" si="5"/>
        <v>4.7905740783334236</v>
      </c>
      <c r="P6" s="38">
        <f t="shared" si="6"/>
        <v>9.0939963608950236E-2</v>
      </c>
    </row>
    <row r="7" spans="1:26">
      <c r="A7">
        <v>1600</v>
      </c>
      <c r="B7">
        <v>5</v>
      </c>
      <c r="C7">
        <v>1</v>
      </c>
      <c r="D7">
        <f t="shared" si="7"/>
        <v>16</v>
      </c>
      <c r="E7">
        <f t="shared" si="0"/>
        <v>36</v>
      </c>
      <c r="F7">
        <f t="shared" si="1"/>
        <v>20</v>
      </c>
      <c r="G7">
        <f t="shared" si="2"/>
        <v>220</v>
      </c>
      <c r="H7">
        <f t="shared" si="3"/>
        <v>800</v>
      </c>
      <c r="I7" s="36">
        <v>477.3</v>
      </c>
      <c r="J7" s="36">
        <v>483.3</v>
      </c>
      <c r="K7" s="36">
        <v>470.7</v>
      </c>
      <c r="L7" s="36">
        <v>484.7</v>
      </c>
      <c r="M7" s="36">
        <v>478.6</v>
      </c>
      <c r="N7" s="38">
        <f t="shared" si="4"/>
        <v>478.89425638108133</v>
      </c>
      <c r="O7" s="38">
        <f t="shared" si="5"/>
        <v>4.9575800548251383</v>
      </c>
      <c r="P7" s="38">
        <f t="shared" si="6"/>
        <v>0.11014568117056232</v>
      </c>
    </row>
    <row r="8" spans="1:26">
      <c r="A8">
        <v>1600</v>
      </c>
      <c r="B8">
        <v>5</v>
      </c>
      <c r="C8">
        <v>1</v>
      </c>
      <c r="D8">
        <f t="shared" si="7"/>
        <v>18</v>
      </c>
      <c r="E8">
        <f t="shared" si="0"/>
        <v>30</v>
      </c>
      <c r="F8">
        <f t="shared" si="1"/>
        <v>20</v>
      </c>
      <c r="G8">
        <f t="shared" si="2"/>
        <v>260</v>
      </c>
      <c r="H8">
        <f t="shared" si="3"/>
        <v>800</v>
      </c>
      <c r="I8" s="36">
        <v>573</v>
      </c>
      <c r="J8" s="36">
        <v>574.29999999999995</v>
      </c>
      <c r="K8" s="36">
        <v>574.1</v>
      </c>
      <c r="L8" s="36">
        <v>567.4</v>
      </c>
      <c r="M8" s="36">
        <v>569.20000000000005</v>
      </c>
      <c r="N8" s="38">
        <f t="shared" si="4"/>
        <v>571.59318429029122</v>
      </c>
      <c r="O8" s="38">
        <f t="shared" si="5"/>
        <v>2.7892651361962648</v>
      </c>
      <c r="P8" s="38">
        <f t="shared" si="6"/>
        <v>0.13146643501609567</v>
      </c>
    </row>
    <row r="9" spans="1:26">
      <c r="A9">
        <v>1600</v>
      </c>
      <c r="B9">
        <v>5</v>
      </c>
      <c r="C9">
        <v>1</v>
      </c>
      <c r="D9">
        <f t="shared" si="7"/>
        <v>20</v>
      </c>
      <c r="E9">
        <f t="shared" si="0"/>
        <v>26</v>
      </c>
      <c r="F9">
        <f t="shared" si="1"/>
        <v>20</v>
      </c>
      <c r="G9">
        <f t="shared" si="2"/>
        <v>300</v>
      </c>
      <c r="H9">
        <f t="shared" si="3"/>
        <v>800</v>
      </c>
      <c r="I9" s="36">
        <v>642.62</v>
      </c>
      <c r="J9" s="36">
        <v>642.99</v>
      </c>
      <c r="K9" s="36">
        <v>649.05999999999995</v>
      </c>
      <c r="L9" s="36">
        <v>641.09</v>
      </c>
      <c r="M9" s="36">
        <v>650.19000000000005</v>
      </c>
      <c r="N9" s="38">
        <f t="shared" si="4"/>
        <v>645.17943824535462</v>
      </c>
      <c r="O9" s="38">
        <f t="shared" si="5"/>
        <v>3.6940979954516582</v>
      </c>
      <c r="P9" s="38">
        <f t="shared" si="6"/>
        <v>0.14839127376425704</v>
      </c>
    </row>
    <row r="10" spans="1:26">
      <c r="A10">
        <v>1600</v>
      </c>
      <c r="B10">
        <v>5</v>
      </c>
      <c r="C10">
        <v>1</v>
      </c>
      <c r="D10">
        <f t="shared" si="7"/>
        <v>22</v>
      </c>
      <c r="E10">
        <f t="shared" si="0"/>
        <v>23</v>
      </c>
      <c r="F10">
        <f t="shared" si="1"/>
        <v>20</v>
      </c>
      <c r="G10">
        <f t="shared" si="2"/>
        <v>340</v>
      </c>
      <c r="H10">
        <f t="shared" si="3"/>
        <v>800</v>
      </c>
      <c r="I10" s="36">
        <v>723.42</v>
      </c>
      <c r="J10" s="36">
        <v>728.95</v>
      </c>
      <c r="K10" s="36">
        <v>718.15</v>
      </c>
      <c r="L10" s="36">
        <v>717.55</v>
      </c>
      <c r="M10" s="36">
        <v>722.91</v>
      </c>
      <c r="N10" s="38">
        <f t="shared" si="4"/>
        <v>722.1841681439314</v>
      </c>
      <c r="O10" s="38">
        <f t="shared" si="5"/>
        <v>4.1371468429341753</v>
      </c>
      <c r="P10" s="38">
        <f t="shared" si="6"/>
        <v>0.16610236199515147</v>
      </c>
    </row>
    <row r="11" spans="1:26">
      <c r="A11">
        <v>1600</v>
      </c>
      <c r="B11">
        <v>5</v>
      </c>
      <c r="C11">
        <v>1</v>
      </c>
      <c r="D11">
        <f t="shared" si="7"/>
        <v>24</v>
      </c>
      <c r="E11">
        <f>INT(0.5*H11/(C11*(D11-B11)))</f>
        <v>21</v>
      </c>
      <c r="F11">
        <f t="shared" si="1"/>
        <v>20</v>
      </c>
      <c r="G11">
        <f>F11*(D11-B11)/C11</f>
        <v>380</v>
      </c>
      <c r="H11">
        <f t="shared" si="3"/>
        <v>800</v>
      </c>
      <c r="I11" s="36">
        <v>796.78</v>
      </c>
      <c r="J11" s="36">
        <v>802.24</v>
      </c>
      <c r="K11" s="36">
        <v>798.79</v>
      </c>
      <c r="L11" s="36">
        <v>796.86</v>
      </c>
      <c r="M11" s="36">
        <v>805.34</v>
      </c>
      <c r="N11" s="38">
        <f t="shared" si="4"/>
        <v>799.99510689615261</v>
      </c>
      <c r="O11" s="38">
        <f t="shared" si="5"/>
        <v>3.3234102966681847</v>
      </c>
      <c r="P11" s="38">
        <f t="shared" si="6"/>
        <v>0.18399887826609265</v>
      </c>
    </row>
    <row r="12" spans="1:26">
      <c r="A12">
        <v>1600</v>
      </c>
      <c r="B12">
        <v>5</v>
      </c>
      <c r="C12">
        <v>1</v>
      </c>
      <c r="D12">
        <f>D11+2</f>
        <v>26</v>
      </c>
      <c r="E12">
        <f>INT(0.5*H12/(C12*(D12-B12)))</f>
        <v>19</v>
      </c>
      <c r="F12">
        <f>IF(E12&gt;20, 20, E12)</f>
        <v>19</v>
      </c>
      <c r="G12">
        <f>F12*(D12-B12)/C12</f>
        <v>399</v>
      </c>
      <c r="H12">
        <f>0.5*A12</f>
        <v>800</v>
      </c>
      <c r="I12" s="36">
        <v>884.11</v>
      </c>
      <c r="J12" s="36">
        <v>896.13</v>
      </c>
      <c r="K12" s="36">
        <v>891.03</v>
      </c>
      <c r="L12" s="36">
        <v>899.92</v>
      </c>
      <c r="M12" s="36">
        <v>901.12</v>
      </c>
      <c r="N12" s="38">
        <f>GEOMEAN(I12:M12)</f>
        <v>894.44004685680591</v>
      </c>
      <c r="O12" s="38">
        <f>_xlfn.STDEV.P(I12:M12)</f>
        <v>6.2584899137092087</v>
      </c>
      <c r="P12" s="38">
        <f t="shared" si="6"/>
        <v>0.20572121489148965</v>
      </c>
    </row>
    <row r="13" spans="1:26">
      <c r="A13">
        <v>1600</v>
      </c>
      <c r="B13">
        <v>5</v>
      </c>
      <c r="C13">
        <v>1</v>
      </c>
      <c r="D13">
        <f>D12+2</f>
        <v>28</v>
      </c>
      <c r="E13">
        <f>INT(0.5*H13/(C13*(D13-B13)))</f>
        <v>17</v>
      </c>
      <c r="F13">
        <f>IF(E13&gt;20, 20, E13)</f>
        <v>17</v>
      </c>
      <c r="G13">
        <f>F13*(D13-B13)/C13</f>
        <v>391</v>
      </c>
      <c r="H13">
        <f>0.5*A13</f>
        <v>800</v>
      </c>
      <c r="I13" s="36">
        <v>942.5</v>
      </c>
      <c r="J13" s="36">
        <v>952.15</v>
      </c>
      <c r="K13" s="36">
        <v>954.97</v>
      </c>
      <c r="L13" s="36">
        <v>962.03</v>
      </c>
      <c r="M13" s="36">
        <v>956.63</v>
      </c>
      <c r="N13" s="38">
        <f>GEOMEAN(I13:M13)</f>
        <v>953.63419224267682</v>
      </c>
      <c r="O13" s="38">
        <f>_xlfn.STDEV.P(I13:M13)</f>
        <v>6.440799950316725</v>
      </c>
      <c r="P13" s="38">
        <f t="shared" si="6"/>
        <v>0.21933586860253304</v>
      </c>
    </row>
    <row r="14" spans="1:26">
      <c r="A14">
        <v>1600</v>
      </c>
      <c r="B14">
        <v>5</v>
      </c>
      <c r="C14">
        <v>1</v>
      </c>
      <c r="D14">
        <f>D13+2</f>
        <v>30</v>
      </c>
      <c r="E14">
        <f>INT(0.5*H14/(C14*(D14-B14)))</f>
        <v>16</v>
      </c>
      <c r="F14">
        <f>IF(E14&gt;20, 20, E14)</f>
        <v>16</v>
      </c>
      <c r="G14">
        <f>F14*(D14-B14)/C14</f>
        <v>400</v>
      </c>
      <c r="H14">
        <f>0.5*A14</f>
        <v>800</v>
      </c>
      <c r="I14" s="36">
        <v>1034</v>
      </c>
      <c r="J14" s="36">
        <v>1041.8</v>
      </c>
      <c r="K14" s="36">
        <v>1029.8</v>
      </c>
      <c r="L14" s="36">
        <v>1021.9</v>
      </c>
      <c r="M14" s="36">
        <v>1036.7</v>
      </c>
      <c r="N14" s="38">
        <f>GEOMEAN(I14:M14)</f>
        <v>1032.8181359778009</v>
      </c>
      <c r="O14" s="38">
        <f>_xlfn.STDEV.P(I14:M14)</f>
        <v>6.7149385700838735</v>
      </c>
      <c r="P14" s="38">
        <f t="shared" si="6"/>
        <v>0.23754817602585773</v>
      </c>
    </row>
    <row r="16" spans="1:26">
      <c r="A16" t="s">
        <v>130</v>
      </c>
    </row>
    <row r="17" spans="1:16" ht="28.8">
      <c r="A17" s="1" t="s">
        <v>113</v>
      </c>
      <c r="B17" s="1" t="s">
        <v>114</v>
      </c>
      <c r="C17" s="1" t="s">
        <v>115</v>
      </c>
      <c r="D17" s="1" t="s">
        <v>116</v>
      </c>
      <c r="E17" s="1" t="s">
        <v>117</v>
      </c>
      <c r="F17" s="34" t="s">
        <v>118</v>
      </c>
      <c r="G17" s="34" t="s">
        <v>119</v>
      </c>
      <c r="H17" s="1" t="s">
        <v>120</v>
      </c>
      <c r="I17" s="37" t="s">
        <v>121</v>
      </c>
      <c r="J17" s="37" t="s">
        <v>122</v>
      </c>
      <c r="K17" s="37" t="s">
        <v>123</v>
      </c>
      <c r="L17" s="37" t="s">
        <v>124</v>
      </c>
      <c r="M17" s="37" t="s">
        <v>125</v>
      </c>
      <c r="N17" s="1" t="s">
        <v>126</v>
      </c>
      <c r="O17" s="1" t="s">
        <v>127</v>
      </c>
      <c r="P17" s="1" t="s">
        <v>128</v>
      </c>
    </row>
    <row r="18" spans="1:16">
      <c r="A18">
        <v>1600</v>
      </c>
      <c r="B18">
        <v>5</v>
      </c>
      <c r="C18">
        <v>1</v>
      </c>
      <c r="D18">
        <f>8</f>
        <v>8</v>
      </c>
      <c r="E18">
        <f t="shared" ref="E18:E29" si="8">INT(0.5*H18/(C18*(D18-B18)))</f>
        <v>133</v>
      </c>
      <c r="F18">
        <f t="shared" ref="F18:F29" si="9">IF(E18&gt;20, 20, E18)</f>
        <v>20</v>
      </c>
      <c r="G18">
        <f t="shared" ref="G18:G29" si="10">F18*(D18-B18)/C18</f>
        <v>60</v>
      </c>
      <c r="H18">
        <f t="shared" ref="H18:H29" si="11">0.5*A18</f>
        <v>800</v>
      </c>
      <c r="I18" s="36">
        <v>150.51</v>
      </c>
      <c r="J18" s="36">
        <v>123.06</v>
      </c>
      <c r="K18" s="36">
        <v>131.19999999999999</v>
      </c>
      <c r="L18" s="36">
        <v>126.28</v>
      </c>
      <c r="M18" s="36">
        <v>130</v>
      </c>
      <c r="N18">
        <f t="shared" ref="N18:N29" si="12">GEOMEAN(I18:M18)</f>
        <v>131.87995959498966</v>
      </c>
      <c r="O18">
        <f t="shared" ref="O18:O29" si="13">_xlfn.STDEV.P(I18:M18)</f>
        <v>9.5883429225283727</v>
      </c>
      <c r="P18">
        <f t="shared" ref="P18:P29" si="14">N18/4347.826</f>
        <v>3.0332391313495449E-2</v>
      </c>
    </row>
    <row r="19" spans="1:16">
      <c r="A19">
        <v>1600</v>
      </c>
      <c r="B19">
        <v>5</v>
      </c>
      <c r="C19">
        <v>1</v>
      </c>
      <c r="D19">
        <f t="shared" ref="D19:D29" si="15">D18+2</f>
        <v>10</v>
      </c>
      <c r="E19">
        <f t="shared" si="8"/>
        <v>80</v>
      </c>
      <c r="F19">
        <f t="shared" si="9"/>
        <v>20</v>
      </c>
      <c r="G19">
        <f t="shared" si="10"/>
        <v>100</v>
      </c>
      <c r="H19">
        <f t="shared" si="11"/>
        <v>800</v>
      </c>
      <c r="I19" s="36">
        <v>241.84</v>
      </c>
      <c r="J19" s="36">
        <v>218.24</v>
      </c>
      <c r="K19" s="36">
        <v>228.81</v>
      </c>
      <c r="L19" s="36">
        <v>217.29</v>
      </c>
      <c r="M19" s="36">
        <v>230.35</v>
      </c>
      <c r="N19">
        <f t="shared" si="12"/>
        <v>227.12926157028105</v>
      </c>
      <c r="O19">
        <f t="shared" si="13"/>
        <v>9.0030852489577171</v>
      </c>
      <c r="P19">
        <f t="shared" si="14"/>
        <v>5.2239731205959261E-2</v>
      </c>
    </row>
    <row r="20" spans="1:16">
      <c r="A20">
        <v>1600</v>
      </c>
      <c r="B20">
        <v>5</v>
      </c>
      <c r="C20">
        <v>1</v>
      </c>
      <c r="D20">
        <f t="shared" si="15"/>
        <v>12</v>
      </c>
      <c r="E20">
        <f t="shared" si="8"/>
        <v>57</v>
      </c>
      <c r="F20">
        <f t="shared" si="9"/>
        <v>20</v>
      </c>
      <c r="G20">
        <f t="shared" si="10"/>
        <v>140</v>
      </c>
      <c r="H20">
        <f t="shared" si="11"/>
        <v>800</v>
      </c>
      <c r="I20" s="36">
        <v>300.39999999999998</v>
      </c>
      <c r="J20" s="36">
        <v>281.88</v>
      </c>
      <c r="K20" s="36">
        <v>288.32</v>
      </c>
      <c r="L20" s="36">
        <v>279.08</v>
      </c>
      <c r="M20" s="36">
        <v>307.07</v>
      </c>
      <c r="N20">
        <f t="shared" si="12"/>
        <v>291.15282795657561</v>
      </c>
      <c r="O20">
        <f t="shared" si="13"/>
        <v>10.755794717267523</v>
      </c>
      <c r="P20">
        <f t="shared" si="14"/>
        <v>6.6965151769315431E-2</v>
      </c>
    </row>
    <row r="21" spans="1:16">
      <c r="A21">
        <v>1600</v>
      </c>
      <c r="B21">
        <v>5</v>
      </c>
      <c r="C21">
        <v>1</v>
      </c>
      <c r="D21">
        <f t="shared" si="15"/>
        <v>14</v>
      </c>
      <c r="E21">
        <f t="shared" si="8"/>
        <v>44</v>
      </c>
      <c r="F21">
        <f t="shared" si="9"/>
        <v>20</v>
      </c>
      <c r="G21">
        <f t="shared" si="10"/>
        <v>180</v>
      </c>
      <c r="H21">
        <f t="shared" si="11"/>
        <v>800</v>
      </c>
      <c r="I21" s="36">
        <v>376.54</v>
      </c>
      <c r="J21" s="36">
        <v>376.69</v>
      </c>
      <c r="K21" s="36">
        <v>362.61</v>
      </c>
      <c r="L21" s="36">
        <v>365.3</v>
      </c>
      <c r="M21" s="36">
        <v>365.87</v>
      </c>
      <c r="N21">
        <f t="shared" si="12"/>
        <v>369.35356209026003</v>
      </c>
      <c r="O21">
        <f t="shared" si="13"/>
        <v>5.9916388409182337</v>
      </c>
      <c r="P21">
        <f t="shared" si="14"/>
        <v>8.4951320979786221E-2</v>
      </c>
    </row>
    <row r="22" spans="1:16">
      <c r="A22">
        <v>1600</v>
      </c>
      <c r="B22">
        <v>5</v>
      </c>
      <c r="C22">
        <v>1</v>
      </c>
      <c r="D22">
        <f t="shared" si="15"/>
        <v>16</v>
      </c>
      <c r="E22">
        <f t="shared" si="8"/>
        <v>36</v>
      </c>
      <c r="F22">
        <f t="shared" si="9"/>
        <v>20</v>
      </c>
      <c r="G22">
        <f t="shared" si="10"/>
        <v>220</v>
      </c>
      <c r="H22">
        <f t="shared" si="11"/>
        <v>800</v>
      </c>
      <c r="I22" s="36">
        <v>477.43</v>
      </c>
      <c r="J22" s="36">
        <v>477.69</v>
      </c>
      <c r="K22" s="36">
        <v>482.23</v>
      </c>
      <c r="L22" s="36">
        <v>485.54</v>
      </c>
      <c r="M22" s="36">
        <v>487.36</v>
      </c>
      <c r="N22">
        <f t="shared" si="12"/>
        <v>482.03324859990306</v>
      </c>
      <c r="O22">
        <f t="shared" si="13"/>
        <v>4.0190197809913863</v>
      </c>
      <c r="P22">
        <f t="shared" si="14"/>
        <v>0.1108676493953307</v>
      </c>
    </row>
    <row r="23" spans="1:16">
      <c r="A23">
        <v>1600</v>
      </c>
      <c r="B23">
        <v>5</v>
      </c>
      <c r="C23">
        <v>1</v>
      </c>
      <c r="D23">
        <f t="shared" si="15"/>
        <v>18</v>
      </c>
      <c r="E23">
        <f t="shared" si="8"/>
        <v>30</v>
      </c>
      <c r="F23">
        <f t="shared" si="9"/>
        <v>20</v>
      </c>
      <c r="G23">
        <f t="shared" si="10"/>
        <v>260</v>
      </c>
      <c r="H23">
        <f t="shared" si="11"/>
        <v>800</v>
      </c>
      <c r="I23" s="36">
        <v>541.76</v>
      </c>
      <c r="J23" s="36">
        <v>545.78</v>
      </c>
      <c r="K23" s="36">
        <v>534.88</v>
      </c>
      <c r="L23" s="36">
        <v>523.54</v>
      </c>
      <c r="M23" s="36">
        <v>535.01</v>
      </c>
      <c r="N23">
        <f t="shared" si="12"/>
        <v>536.14040267043777</v>
      </c>
      <c r="O23">
        <f t="shared" si="13"/>
        <v>7.5647064715030465</v>
      </c>
      <c r="P23">
        <f t="shared" si="14"/>
        <v>0.12331229508044658</v>
      </c>
    </row>
    <row r="24" spans="1:16">
      <c r="A24">
        <v>1600</v>
      </c>
      <c r="B24">
        <v>5</v>
      </c>
      <c r="C24">
        <v>1</v>
      </c>
      <c r="D24">
        <f t="shared" si="15"/>
        <v>20</v>
      </c>
      <c r="E24">
        <f t="shared" si="8"/>
        <v>26</v>
      </c>
      <c r="F24">
        <f t="shared" si="9"/>
        <v>20</v>
      </c>
      <c r="G24">
        <f t="shared" si="10"/>
        <v>300</v>
      </c>
      <c r="H24">
        <f t="shared" si="11"/>
        <v>800</v>
      </c>
      <c r="I24" s="36">
        <v>648.5</v>
      </c>
      <c r="J24" s="36">
        <v>632.61</v>
      </c>
      <c r="K24" s="36">
        <v>631.34</v>
      </c>
      <c r="L24" s="36">
        <v>628.5</v>
      </c>
      <c r="M24" s="36">
        <v>634.39</v>
      </c>
      <c r="N24">
        <f t="shared" si="12"/>
        <v>635.02992289590998</v>
      </c>
      <c r="O24">
        <f t="shared" si="13"/>
        <v>6.9850795271063273</v>
      </c>
      <c r="P24">
        <f t="shared" si="14"/>
        <v>0.14605688518719701</v>
      </c>
    </row>
    <row r="25" spans="1:16">
      <c r="A25">
        <v>1600</v>
      </c>
      <c r="B25">
        <v>5</v>
      </c>
      <c r="C25">
        <v>1</v>
      </c>
      <c r="D25">
        <f t="shared" si="15"/>
        <v>22</v>
      </c>
      <c r="E25">
        <f t="shared" si="8"/>
        <v>23</v>
      </c>
      <c r="F25">
        <f t="shared" si="9"/>
        <v>20</v>
      </c>
      <c r="G25">
        <f t="shared" si="10"/>
        <v>340</v>
      </c>
      <c r="H25">
        <f t="shared" si="11"/>
        <v>800</v>
      </c>
      <c r="I25" s="36">
        <v>706.24</v>
      </c>
      <c r="J25" s="36">
        <v>702.2</v>
      </c>
      <c r="K25" s="36">
        <v>700.62</v>
      </c>
      <c r="L25" s="36">
        <v>689.33</v>
      </c>
      <c r="M25" s="36">
        <v>695.1</v>
      </c>
      <c r="N25">
        <f t="shared" si="12"/>
        <v>698.67310724592687</v>
      </c>
      <c r="O25">
        <f t="shared" si="13"/>
        <v>5.8914324234433773</v>
      </c>
      <c r="P25">
        <f t="shared" si="14"/>
        <v>0.16069481788045953</v>
      </c>
    </row>
    <row r="26" spans="1:16">
      <c r="A26">
        <v>1600</v>
      </c>
      <c r="B26">
        <v>5</v>
      </c>
      <c r="C26">
        <v>1</v>
      </c>
      <c r="D26">
        <f t="shared" si="15"/>
        <v>24</v>
      </c>
      <c r="E26">
        <f t="shared" si="8"/>
        <v>21</v>
      </c>
      <c r="F26">
        <f t="shared" si="9"/>
        <v>20</v>
      </c>
      <c r="G26">
        <f t="shared" si="10"/>
        <v>380</v>
      </c>
      <c r="H26">
        <f t="shared" si="11"/>
        <v>800</v>
      </c>
      <c r="I26" s="36">
        <v>757.43</v>
      </c>
      <c r="J26" s="36">
        <v>773.55</v>
      </c>
      <c r="K26" s="36">
        <v>770.97</v>
      </c>
      <c r="L26" s="36">
        <v>776.19</v>
      </c>
      <c r="M26" s="36">
        <v>781.9</v>
      </c>
      <c r="N26">
        <f t="shared" si="12"/>
        <v>771.96484946615692</v>
      </c>
      <c r="O26">
        <f t="shared" si="13"/>
        <v>8.140197540600612</v>
      </c>
      <c r="P26">
        <f t="shared" si="14"/>
        <v>0.17755191892825448</v>
      </c>
    </row>
    <row r="27" spans="1:16">
      <c r="A27">
        <v>1600</v>
      </c>
      <c r="B27">
        <v>5</v>
      </c>
      <c r="C27">
        <v>1</v>
      </c>
      <c r="D27">
        <f t="shared" si="15"/>
        <v>26</v>
      </c>
      <c r="E27">
        <f t="shared" si="8"/>
        <v>19</v>
      </c>
      <c r="F27">
        <f t="shared" si="9"/>
        <v>19</v>
      </c>
      <c r="G27">
        <f t="shared" si="10"/>
        <v>399</v>
      </c>
      <c r="H27">
        <f t="shared" si="11"/>
        <v>800</v>
      </c>
      <c r="I27" s="36">
        <v>867.94</v>
      </c>
      <c r="J27" s="36">
        <v>884.93</v>
      </c>
      <c r="K27" s="36">
        <v>884.48</v>
      </c>
      <c r="L27" s="36">
        <v>892.16</v>
      </c>
      <c r="M27" s="36">
        <v>896.09</v>
      </c>
      <c r="N27">
        <f t="shared" si="12"/>
        <v>885.067112695015</v>
      </c>
      <c r="O27">
        <f t="shared" si="13"/>
        <v>9.6488403448289937</v>
      </c>
      <c r="P27">
        <f t="shared" si="14"/>
        <v>0.20356543999116225</v>
      </c>
    </row>
    <row r="28" spans="1:16">
      <c r="A28">
        <v>1600</v>
      </c>
      <c r="B28">
        <v>5</v>
      </c>
      <c r="C28">
        <v>1</v>
      </c>
      <c r="D28">
        <f t="shared" si="15"/>
        <v>28</v>
      </c>
      <c r="E28">
        <f t="shared" si="8"/>
        <v>17</v>
      </c>
      <c r="F28">
        <f t="shared" si="9"/>
        <v>17</v>
      </c>
      <c r="G28">
        <f t="shared" si="10"/>
        <v>391</v>
      </c>
      <c r="H28">
        <f t="shared" si="11"/>
        <v>800</v>
      </c>
      <c r="I28" s="36">
        <v>949.67</v>
      </c>
      <c r="J28" s="36">
        <v>951.45</v>
      </c>
      <c r="K28" s="36">
        <v>964.61</v>
      </c>
      <c r="L28" s="36">
        <v>935.04</v>
      </c>
      <c r="M28" s="36">
        <v>942.84</v>
      </c>
      <c r="N28">
        <f t="shared" si="12"/>
        <v>948.67122470549339</v>
      </c>
      <c r="O28">
        <f t="shared" si="13"/>
        <v>9.8240956835731321</v>
      </c>
      <c r="P28">
        <f t="shared" si="14"/>
        <v>0.21819438604615121</v>
      </c>
    </row>
    <row r="29" spans="1:16">
      <c r="A29">
        <v>1600</v>
      </c>
      <c r="B29">
        <v>5</v>
      </c>
      <c r="C29">
        <v>1</v>
      </c>
      <c r="D29">
        <f t="shared" si="15"/>
        <v>30</v>
      </c>
      <c r="E29">
        <f t="shared" si="8"/>
        <v>16</v>
      </c>
      <c r="F29">
        <f t="shared" si="9"/>
        <v>16</v>
      </c>
      <c r="G29">
        <f t="shared" si="10"/>
        <v>400</v>
      </c>
      <c r="H29">
        <f t="shared" si="11"/>
        <v>800</v>
      </c>
      <c r="I29" s="36">
        <v>1034.5999999999999</v>
      </c>
      <c r="J29" s="36">
        <v>1034.3</v>
      </c>
      <c r="K29" s="36">
        <v>1009.2</v>
      </c>
      <c r="L29" s="36">
        <v>1027.0999999999999</v>
      </c>
      <c r="M29" s="36">
        <v>1015.6</v>
      </c>
      <c r="N29">
        <f t="shared" si="12"/>
        <v>1024.1093528029676</v>
      </c>
      <c r="O29">
        <f t="shared" si="13"/>
        <v>10.173809512665303</v>
      </c>
      <c r="P29">
        <f t="shared" si="14"/>
        <v>0.23554515585558566</v>
      </c>
    </row>
    <row r="31" spans="1:16">
      <c r="A31" t="s">
        <v>131</v>
      </c>
    </row>
    <row r="32" spans="1:16" ht="28.8">
      <c r="A32" s="1" t="s">
        <v>113</v>
      </c>
      <c r="B32" s="1" t="s">
        <v>114</v>
      </c>
      <c r="C32" s="1" t="s">
        <v>115</v>
      </c>
      <c r="D32" s="1" t="s">
        <v>116</v>
      </c>
      <c r="E32" s="1" t="s">
        <v>117</v>
      </c>
      <c r="F32" s="34" t="s">
        <v>118</v>
      </c>
      <c r="G32" s="34" t="s">
        <v>119</v>
      </c>
      <c r="H32" s="1" t="s">
        <v>120</v>
      </c>
      <c r="I32" s="37" t="s">
        <v>121</v>
      </c>
      <c r="J32" s="37" t="s">
        <v>122</v>
      </c>
      <c r="K32" s="37" t="s">
        <v>123</v>
      </c>
      <c r="L32" s="37" t="s">
        <v>124</v>
      </c>
      <c r="M32" s="37" t="s">
        <v>125</v>
      </c>
      <c r="N32" s="1" t="s">
        <v>126</v>
      </c>
      <c r="O32" s="1" t="s">
        <v>127</v>
      </c>
      <c r="P32" s="1" t="s">
        <v>128</v>
      </c>
    </row>
    <row r="33" spans="1:16">
      <c r="A33">
        <v>1600</v>
      </c>
      <c r="B33">
        <v>5</v>
      </c>
      <c r="C33">
        <v>1</v>
      </c>
      <c r="D33">
        <f>8</f>
        <v>8</v>
      </c>
      <c r="E33">
        <f t="shared" ref="E33:E44" si="16">INT(0.5*H33/(C33*(D33-B33)))</f>
        <v>133</v>
      </c>
      <c r="F33">
        <f t="shared" ref="F33:F44" si="17">IF(E33&gt;20, 20, E33)</f>
        <v>20</v>
      </c>
      <c r="G33">
        <f t="shared" ref="G33:G44" si="18">F33*(D33-B33)/C33</f>
        <v>60</v>
      </c>
      <c r="H33">
        <f t="shared" ref="H33:H44" si="19">0.5*A33</f>
        <v>800</v>
      </c>
      <c r="I33" s="36">
        <v>177.4</v>
      </c>
      <c r="J33" s="36">
        <v>172.81</v>
      </c>
      <c r="K33" s="36">
        <v>179.33</v>
      </c>
      <c r="L33" s="36">
        <v>182.63</v>
      </c>
      <c r="M33" s="36">
        <v>179.64</v>
      </c>
      <c r="N33">
        <f t="shared" ref="N33:N44" si="20">GEOMEAN(I33:M33)</f>
        <v>178.33234480536365</v>
      </c>
      <c r="O33">
        <f t="shared" ref="O33:O44" si="21">_xlfn.STDEV.P(I33:M33)</f>
        <v>3.2414897809494914</v>
      </c>
      <c r="P33">
        <f t="shared" ref="P33:P44" si="22">N33/4347.826</f>
        <v>4.1016440125562444E-2</v>
      </c>
    </row>
    <row r="34" spans="1:16">
      <c r="A34">
        <v>1600</v>
      </c>
      <c r="B34">
        <v>5</v>
      </c>
      <c r="C34">
        <v>1</v>
      </c>
      <c r="D34">
        <f t="shared" ref="D34:D44" si="23">D33+2</f>
        <v>10</v>
      </c>
      <c r="E34">
        <f t="shared" si="16"/>
        <v>80</v>
      </c>
      <c r="F34">
        <f t="shared" si="17"/>
        <v>20</v>
      </c>
      <c r="G34">
        <f t="shared" si="18"/>
        <v>100</v>
      </c>
      <c r="H34">
        <f t="shared" si="19"/>
        <v>800</v>
      </c>
      <c r="I34" s="36">
        <v>280.3</v>
      </c>
      <c r="J34" s="36">
        <v>279.10000000000002</v>
      </c>
      <c r="K34" s="36">
        <v>278.93</v>
      </c>
      <c r="L34" s="36">
        <v>276.55</v>
      </c>
      <c r="M34" s="36">
        <v>277.52999999999997</v>
      </c>
      <c r="N34">
        <f t="shared" si="20"/>
        <v>278.47893661910263</v>
      </c>
      <c r="O34">
        <f t="shared" si="21"/>
        <v>1.3058851404315837</v>
      </c>
      <c r="P34">
        <f t="shared" si="22"/>
        <v>6.4050156703396741E-2</v>
      </c>
    </row>
    <row r="35" spans="1:16">
      <c r="A35">
        <v>1600</v>
      </c>
      <c r="B35">
        <v>5</v>
      </c>
      <c r="C35">
        <v>1</v>
      </c>
      <c r="D35">
        <f t="shared" si="23"/>
        <v>12</v>
      </c>
      <c r="E35">
        <f t="shared" si="16"/>
        <v>57</v>
      </c>
      <c r="F35">
        <f t="shared" si="17"/>
        <v>20</v>
      </c>
      <c r="G35">
        <f t="shared" si="18"/>
        <v>140</v>
      </c>
      <c r="H35">
        <f t="shared" si="19"/>
        <v>800</v>
      </c>
      <c r="I35" s="36">
        <v>344.09</v>
      </c>
      <c r="J35" s="36">
        <v>334.35</v>
      </c>
      <c r="K35" s="36">
        <v>324.52999999999997</v>
      </c>
      <c r="L35" s="36">
        <v>329.53</v>
      </c>
      <c r="M35" s="36">
        <v>338.37</v>
      </c>
      <c r="N35">
        <f t="shared" si="20"/>
        <v>334.10502508227108</v>
      </c>
      <c r="O35">
        <f t="shared" si="21"/>
        <v>6.7902565489088902</v>
      </c>
      <c r="P35">
        <f t="shared" si="22"/>
        <v>7.6844157305805488E-2</v>
      </c>
    </row>
    <row r="36" spans="1:16">
      <c r="A36">
        <v>1600</v>
      </c>
      <c r="B36">
        <v>5</v>
      </c>
      <c r="C36">
        <v>1</v>
      </c>
      <c r="D36">
        <f t="shared" si="23"/>
        <v>14</v>
      </c>
      <c r="E36">
        <f t="shared" si="16"/>
        <v>44</v>
      </c>
      <c r="F36">
        <f t="shared" si="17"/>
        <v>20</v>
      </c>
      <c r="G36">
        <f t="shared" si="18"/>
        <v>180</v>
      </c>
      <c r="H36">
        <f t="shared" si="19"/>
        <v>800</v>
      </c>
      <c r="I36" s="36">
        <v>425.95</v>
      </c>
      <c r="J36" s="36">
        <v>411.75</v>
      </c>
      <c r="K36" s="36">
        <v>411.41</v>
      </c>
      <c r="L36" s="36">
        <v>409.88</v>
      </c>
      <c r="M36" s="36">
        <v>412.82</v>
      </c>
      <c r="N36">
        <f t="shared" si="20"/>
        <v>414.32096185933585</v>
      </c>
      <c r="O36">
        <f t="shared" si="21"/>
        <v>5.8700030664387155</v>
      </c>
      <c r="P36">
        <f t="shared" si="22"/>
        <v>9.5293823133523706E-2</v>
      </c>
    </row>
    <row r="37" spans="1:16">
      <c r="A37">
        <v>1600</v>
      </c>
      <c r="B37">
        <v>5</v>
      </c>
      <c r="C37">
        <v>1</v>
      </c>
      <c r="D37">
        <f t="shared" si="23"/>
        <v>16</v>
      </c>
      <c r="E37">
        <f t="shared" si="16"/>
        <v>36</v>
      </c>
      <c r="F37">
        <f t="shared" si="17"/>
        <v>20</v>
      </c>
      <c r="G37">
        <f t="shared" si="18"/>
        <v>220</v>
      </c>
      <c r="H37">
        <f t="shared" si="19"/>
        <v>800</v>
      </c>
      <c r="I37" s="36">
        <v>510.13</v>
      </c>
      <c r="J37" s="36">
        <v>498.34</v>
      </c>
      <c r="K37" s="36">
        <v>500.7</v>
      </c>
      <c r="L37" s="36">
        <v>500.58</v>
      </c>
      <c r="M37" s="36">
        <v>502.54</v>
      </c>
      <c r="N37">
        <f t="shared" si="20"/>
        <v>502.44168873670554</v>
      </c>
      <c r="O37">
        <f t="shared" si="21"/>
        <v>4.060583209343215</v>
      </c>
      <c r="P37">
        <f t="shared" si="22"/>
        <v>0.1155615907206741</v>
      </c>
    </row>
    <row r="38" spans="1:16">
      <c r="A38">
        <v>1600</v>
      </c>
      <c r="B38">
        <v>5</v>
      </c>
      <c r="C38">
        <v>1</v>
      </c>
      <c r="D38">
        <f t="shared" si="23"/>
        <v>18</v>
      </c>
      <c r="E38">
        <f t="shared" si="16"/>
        <v>30</v>
      </c>
      <c r="F38">
        <f t="shared" si="17"/>
        <v>20</v>
      </c>
      <c r="G38">
        <f t="shared" si="18"/>
        <v>260</v>
      </c>
      <c r="H38">
        <f t="shared" si="19"/>
        <v>800</v>
      </c>
      <c r="I38" s="36">
        <v>576.45000000000005</v>
      </c>
      <c r="J38" s="36">
        <v>558.11</v>
      </c>
      <c r="K38" s="36">
        <v>558.42999999999995</v>
      </c>
      <c r="L38" s="36">
        <v>561.08000000000004</v>
      </c>
      <c r="M38" s="36">
        <v>558.98</v>
      </c>
      <c r="N38">
        <f t="shared" si="20"/>
        <v>562.56699526213663</v>
      </c>
      <c r="O38">
        <f t="shared" si="21"/>
        <v>6.9969393308789138</v>
      </c>
      <c r="P38">
        <f t="shared" si="22"/>
        <v>0.12939041149809966</v>
      </c>
    </row>
    <row r="39" spans="1:16">
      <c r="A39">
        <v>1600</v>
      </c>
      <c r="B39">
        <v>5</v>
      </c>
      <c r="C39">
        <v>1</v>
      </c>
      <c r="D39">
        <f t="shared" si="23"/>
        <v>20</v>
      </c>
      <c r="E39">
        <f t="shared" si="16"/>
        <v>26</v>
      </c>
      <c r="F39">
        <f t="shared" si="17"/>
        <v>20</v>
      </c>
      <c r="G39">
        <f t="shared" si="18"/>
        <v>300</v>
      </c>
      <c r="H39">
        <f t="shared" si="19"/>
        <v>800</v>
      </c>
      <c r="I39" s="36">
        <v>650.86</v>
      </c>
      <c r="J39" s="36">
        <v>650.37</v>
      </c>
      <c r="K39" s="36">
        <v>653.04</v>
      </c>
      <c r="L39" s="36">
        <v>651.6</v>
      </c>
      <c r="M39" s="36">
        <v>655.89</v>
      </c>
      <c r="N39">
        <f t="shared" si="20"/>
        <v>652.34898367803214</v>
      </c>
      <c r="O39">
        <f t="shared" si="21"/>
        <v>1.9854813018510027</v>
      </c>
      <c r="P39">
        <f t="shared" si="22"/>
        <v>0.15004026924675279</v>
      </c>
    </row>
    <row r="40" spans="1:16">
      <c r="A40">
        <v>1600</v>
      </c>
      <c r="B40">
        <v>5</v>
      </c>
      <c r="C40">
        <v>1</v>
      </c>
      <c r="D40">
        <f t="shared" si="23"/>
        <v>22</v>
      </c>
      <c r="E40">
        <f t="shared" si="16"/>
        <v>23</v>
      </c>
      <c r="F40">
        <f t="shared" si="17"/>
        <v>20</v>
      </c>
      <c r="G40">
        <f t="shared" si="18"/>
        <v>340</v>
      </c>
      <c r="H40">
        <f t="shared" si="19"/>
        <v>800</v>
      </c>
      <c r="I40" s="36">
        <v>716.32</v>
      </c>
      <c r="J40" s="36">
        <v>737.49</v>
      </c>
      <c r="K40" s="36">
        <v>741.15</v>
      </c>
      <c r="L40" s="36">
        <v>737.79</v>
      </c>
      <c r="M40" s="36">
        <v>741.39</v>
      </c>
      <c r="N40">
        <f t="shared" si="20"/>
        <v>734.76720285162617</v>
      </c>
      <c r="O40">
        <f t="shared" si="21"/>
        <v>9.3960979134957672</v>
      </c>
      <c r="P40">
        <f t="shared" si="22"/>
        <v>0.16899646003580321</v>
      </c>
    </row>
    <row r="41" spans="1:16">
      <c r="A41">
        <v>1600</v>
      </c>
      <c r="B41">
        <v>5</v>
      </c>
      <c r="C41">
        <v>1</v>
      </c>
      <c r="D41">
        <f t="shared" si="23"/>
        <v>24</v>
      </c>
      <c r="E41">
        <f t="shared" si="16"/>
        <v>21</v>
      </c>
      <c r="F41">
        <f t="shared" si="17"/>
        <v>20</v>
      </c>
      <c r="G41">
        <f t="shared" si="18"/>
        <v>380</v>
      </c>
      <c r="H41">
        <f t="shared" si="19"/>
        <v>800</v>
      </c>
      <c r="I41" s="36">
        <v>764.97</v>
      </c>
      <c r="J41" s="36">
        <v>779.74</v>
      </c>
      <c r="K41" s="36">
        <v>785.92</v>
      </c>
      <c r="L41" s="36">
        <v>782.61</v>
      </c>
      <c r="M41" s="36">
        <v>778.94</v>
      </c>
      <c r="N41">
        <f t="shared" si="20"/>
        <v>778.40280357913196</v>
      </c>
      <c r="O41">
        <f t="shared" si="21"/>
        <v>7.1654744434684696</v>
      </c>
      <c r="P41">
        <f t="shared" si="22"/>
        <v>0.17903264840385333</v>
      </c>
    </row>
    <row r="42" spans="1:16">
      <c r="A42">
        <v>1600</v>
      </c>
      <c r="B42">
        <v>5</v>
      </c>
      <c r="C42">
        <v>1</v>
      </c>
      <c r="D42">
        <f t="shared" si="23"/>
        <v>26</v>
      </c>
      <c r="E42">
        <f t="shared" si="16"/>
        <v>19</v>
      </c>
      <c r="F42">
        <f t="shared" si="17"/>
        <v>19</v>
      </c>
      <c r="G42">
        <f t="shared" si="18"/>
        <v>399</v>
      </c>
      <c r="H42">
        <f t="shared" si="19"/>
        <v>800</v>
      </c>
      <c r="I42" s="36">
        <v>888.32</v>
      </c>
      <c r="J42" s="36">
        <v>894.83</v>
      </c>
      <c r="K42" s="36">
        <v>895.21</v>
      </c>
      <c r="L42" s="36">
        <v>901.89</v>
      </c>
      <c r="M42" s="36">
        <v>900.56</v>
      </c>
      <c r="N42">
        <f t="shared" si="20"/>
        <v>896.14900119224535</v>
      </c>
      <c r="O42">
        <f t="shared" si="21"/>
        <v>4.8234817300368906</v>
      </c>
      <c r="P42">
        <f t="shared" si="22"/>
        <v>0.20611427439650193</v>
      </c>
    </row>
    <row r="43" spans="1:16">
      <c r="A43">
        <v>1600</v>
      </c>
      <c r="B43">
        <v>5</v>
      </c>
      <c r="C43">
        <v>1</v>
      </c>
      <c r="D43">
        <f t="shared" si="23"/>
        <v>28</v>
      </c>
      <c r="E43">
        <f t="shared" si="16"/>
        <v>17</v>
      </c>
      <c r="F43">
        <f t="shared" si="17"/>
        <v>17</v>
      </c>
      <c r="G43">
        <f t="shared" si="18"/>
        <v>391</v>
      </c>
      <c r="H43">
        <f t="shared" si="19"/>
        <v>800</v>
      </c>
      <c r="I43" s="36">
        <v>967.14</v>
      </c>
      <c r="J43" s="36">
        <v>986.2</v>
      </c>
      <c r="K43" s="36">
        <v>971.9</v>
      </c>
      <c r="L43" s="36">
        <v>969.4</v>
      </c>
      <c r="M43" s="36">
        <v>975.4</v>
      </c>
      <c r="N43">
        <f t="shared" si="20"/>
        <v>973.98515701754161</v>
      </c>
      <c r="O43">
        <f t="shared" si="21"/>
        <v>6.6847480132014185</v>
      </c>
      <c r="P43">
        <f t="shared" si="22"/>
        <v>0.22401659059436638</v>
      </c>
    </row>
    <row r="44" spans="1:16">
      <c r="A44">
        <v>1600</v>
      </c>
      <c r="B44">
        <v>5</v>
      </c>
      <c r="C44">
        <v>1</v>
      </c>
      <c r="D44">
        <f t="shared" si="23"/>
        <v>30</v>
      </c>
      <c r="E44">
        <f t="shared" si="16"/>
        <v>16</v>
      </c>
      <c r="F44">
        <f t="shared" si="17"/>
        <v>16</v>
      </c>
      <c r="G44">
        <f t="shared" si="18"/>
        <v>400</v>
      </c>
      <c r="H44">
        <f t="shared" si="19"/>
        <v>800</v>
      </c>
      <c r="I44" s="46">
        <v>1067.5999999999999</v>
      </c>
      <c r="J44" s="46">
        <v>1052.3</v>
      </c>
      <c r="K44" s="46">
        <v>1039.4000000000001</v>
      </c>
      <c r="L44" s="46">
        <v>1046.4000000000001</v>
      </c>
      <c r="M44" s="46">
        <v>1025.2</v>
      </c>
      <c r="N44">
        <f t="shared" si="20"/>
        <v>1046.0861094106408</v>
      </c>
      <c r="O44">
        <f t="shared" si="21"/>
        <v>14.017474808252679</v>
      </c>
      <c r="P44">
        <f t="shared" si="22"/>
        <v>0.24059980997644359</v>
      </c>
    </row>
    <row r="45" spans="1:16" s="47" customFormat="1"/>
    <row r="46" spans="1:16">
      <c r="A46" t="s">
        <v>178</v>
      </c>
      <c r="D46" t="s">
        <v>132</v>
      </c>
    </row>
    <row r="47" spans="1:16">
      <c r="A47" t="s">
        <v>133</v>
      </c>
      <c r="D47" t="s">
        <v>133</v>
      </c>
    </row>
    <row r="48" spans="1:16">
      <c r="A48">
        <v>500</v>
      </c>
      <c r="B48">
        <v>495.71</v>
      </c>
      <c r="D48">
        <v>500</v>
      </c>
      <c r="E48">
        <v>496.89</v>
      </c>
      <c r="G48">
        <v>500</v>
      </c>
      <c r="H48">
        <v>490.78</v>
      </c>
      <c r="J48">
        <v>700</v>
      </c>
      <c r="K48">
        <v>701.99</v>
      </c>
      <c r="M48">
        <v>200</v>
      </c>
      <c r="N48">
        <v>189.09</v>
      </c>
    </row>
    <row r="49" spans="1:14">
      <c r="A49">
        <v>500</v>
      </c>
      <c r="B49">
        <v>511.92</v>
      </c>
      <c r="D49">
        <v>500</v>
      </c>
      <c r="E49">
        <v>488.7</v>
      </c>
      <c r="G49">
        <v>500</v>
      </c>
      <c r="H49">
        <v>496.99</v>
      </c>
      <c r="J49">
        <v>700</v>
      </c>
      <c r="K49">
        <v>697.83</v>
      </c>
      <c r="M49">
        <v>200</v>
      </c>
      <c r="N49">
        <v>193.3</v>
      </c>
    </row>
    <row r="50" spans="1:14">
      <c r="A50">
        <v>500</v>
      </c>
      <c r="B50">
        <v>510.5</v>
      </c>
      <c r="D50">
        <v>500</v>
      </c>
      <c r="E50">
        <v>491.44</v>
      </c>
      <c r="G50">
        <v>500</v>
      </c>
      <c r="H50">
        <v>487.31</v>
      </c>
      <c r="J50">
        <v>700</v>
      </c>
      <c r="K50">
        <v>707.85</v>
      </c>
      <c r="M50">
        <v>200</v>
      </c>
      <c r="N50">
        <v>192.88</v>
      </c>
    </row>
    <row r="51" spans="1:14">
      <c r="A51">
        <v>500</v>
      </c>
      <c r="B51">
        <v>493.93</v>
      </c>
      <c r="D51">
        <v>500</v>
      </c>
      <c r="E51">
        <v>489.81</v>
      </c>
      <c r="G51">
        <v>500</v>
      </c>
      <c r="H51">
        <v>487.69</v>
      </c>
      <c r="J51">
        <v>700</v>
      </c>
      <c r="K51">
        <v>692.94</v>
      </c>
      <c r="M51">
        <v>200</v>
      </c>
      <c r="N51">
        <v>191.32</v>
      </c>
    </row>
    <row r="52" spans="1:14">
      <c r="A52">
        <v>500</v>
      </c>
      <c r="B52">
        <v>492.56</v>
      </c>
      <c r="D52">
        <v>500</v>
      </c>
      <c r="E52">
        <v>488.9</v>
      </c>
      <c r="G52">
        <v>500</v>
      </c>
      <c r="H52">
        <v>487.51</v>
      </c>
      <c r="J52">
        <v>700</v>
      </c>
      <c r="K52">
        <v>697.31</v>
      </c>
      <c r="M52">
        <v>200</v>
      </c>
      <c r="N52">
        <v>190.36</v>
      </c>
    </row>
    <row r="53" spans="1:14">
      <c r="J53">
        <v>700</v>
      </c>
      <c r="K53">
        <v>696.74</v>
      </c>
    </row>
  </sheetData>
  <mergeCells count="1">
    <mergeCell ref="I1:M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A0CC-B192-4F3B-A62C-E3FE0AC3C521}">
  <dimension ref="A2:E26"/>
  <sheetViews>
    <sheetView workbookViewId="0"/>
  </sheetViews>
  <sheetFormatPr defaultRowHeight="14.4"/>
  <sheetData>
    <row r="2" spans="1:5">
      <c r="B2" t="s">
        <v>134</v>
      </c>
      <c r="C2" t="s">
        <v>135</v>
      </c>
      <c r="D2" t="s">
        <v>136</v>
      </c>
      <c r="E2" t="s">
        <v>137</v>
      </c>
    </row>
    <row r="3" spans="1:5">
      <c r="A3">
        <v>1600</v>
      </c>
      <c r="B3">
        <v>11.326000000000001</v>
      </c>
      <c r="C3">
        <v>9.1859999999999999</v>
      </c>
      <c r="D3">
        <v>11.082000000000001</v>
      </c>
      <c r="E3">
        <f t="shared" ref="E3:E26" si="0">AVERAGE(B3:D3)</f>
        <v>10.531333333333334</v>
      </c>
    </row>
    <row r="4" spans="1:5">
      <c r="E4" t="e">
        <f t="shared" si="0"/>
        <v>#DIV/0!</v>
      </c>
    </row>
    <row r="5" spans="1:5">
      <c r="A5">
        <v>4800</v>
      </c>
      <c r="B5">
        <v>52.133000000000003</v>
      </c>
      <c r="C5">
        <v>49.33</v>
      </c>
      <c r="D5">
        <v>47.984000000000002</v>
      </c>
      <c r="E5">
        <f t="shared" si="0"/>
        <v>49.815666666666665</v>
      </c>
    </row>
    <row r="6" spans="1:5">
      <c r="A6">
        <v>6400</v>
      </c>
      <c r="B6">
        <v>72.665999999999997</v>
      </c>
      <c r="C6">
        <v>69.301000000000002</v>
      </c>
      <c r="D6">
        <v>69.944999999999993</v>
      </c>
      <c r="E6">
        <f t="shared" si="0"/>
        <v>70.637333333333331</v>
      </c>
    </row>
    <row r="7" spans="1:5">
      <c r="A7">
        <v>8000</v>
      </c>
      <c r="B7">
        <v>79.281000000000006</v>
      </c>
      <c r="C7">
        <v>81.400000000000006</v>
      </c>
      <c r="D7">
        <v>79.619</v>
      </c>
      <c r="E7">
        <f t="shared" si="0"/>
        <v>80.100000000000009</v>
      </c>
    </row>
    <row r="8" spans="1:5">
      <c r="A8">
        <v>9600</v>
      </c>
      <c r="B8">
        <v>98.14</v>
      </c>
      <c r="C8">
        <v>97.15</v>
      </c>
      <c r="D8">
        <v>94.11</v>
      </c>
      <c r="E8">
        <f t="shared" si="0"/>
        <v>96.466666666666683</v>
      </c>
    </row>
    <row r="9" spans="1:5">
      <c r="A9">
        <v>11200</v>
      </c>
      <c r="B9">
        <v>98.37</v>
      </c>
      <c r="C9">
        <v>105.57</v>
      </c>
      <c r="D9">
        <v>105.82</v>
      </c>
      <c r="E9">
        <f t="shared" si="0"/>
        <v>103.25333333333333</v>
      </c>
    </row>
    <row r="10" spans="1:5">
      <c r="A10">
        <v>12800</v>
      </c>
      <c r="B10">
        <v>118.07</v>
      </c>
      <c r="C10">
        <v>114.67</v>
      </c>
      <c r="D10">
        <v>112.57</v>
      </c>
      <c r="E10">
        <f t="shared" si="0"/>
        <v>115.10333333333334</v>
      </c>
    </row>
    <row r="11" spans="1:5">
      <c r="A11">
        <v>14400</v>
      </c>
      <c r="B11">
        <v>125.49</v>
      </c>
      <c r="C11">
        <v>124.87</v>
      </c>
      <c r="D11">
        <v>129.07</v>
      </c>
      <c r="E11">
        <f t="shared" si="0"/>
        <v>126.47666666666667</v>
      </c>
    </row>
    <row r="12" spans="1:5">
      <c r="A12">
        <v>16000</v>
      </c>
      <c r="B12">
        <v>127.53</v>
      </c>
      <c r="C12">
        <v>127.49</v>
      </c>
      <c r="D12">
        <v>111.17</v>
      </c>
      <c r="E12">
        <f t="shared" si="0"/>
        <v>122.06333333333333</v>
      </c>
    </row>
    <row r="13" spans="1:5">
      <c r="A13">
        <v>17600</v>
      </c>
      <c r="B13">
        <v>85.34</v>
      </c>
      <c r="C13">
        <v>85.67</v>
      </c>
      <c r="D13">
        <v>90.27</v>
      </c>
      <c r="E13">
        <f t="shared" si="0"/>
        <v>87.09333333333332</v>
      </c>
    </row>
    <row r="14" spans="1:5">
      <c r="A14">
        <v>19200</v>
      </c>
      <c r="B14">
        <v>87.71</v>
      </c>
      <c r="C14">
        <v>92.48</v>
      </c>
      <c r="D14">
        <v>93.32</v>
      </c>
      <c r="E14">
        <f t="shared" si="0"/>
        <v>91.17</v>
      </c>
    </row>
    <row r="15" spans="1:5">
      <c r="A15">
        <v>20800</v>
      </c>
      <c r="B15">
        <v>94.63</v>
      </c>
      <c r="C15">
        <v>90.96</v>
      </c>
      <c r="D15">
        <v>91.02</v>
      </c>
      <c r="E15">
        <f t="shared" si="0"/>
        <v>92.203333333333319</v>
      </c>
    </row>
    <row r="16" spans="1:5">
      <c r="A16">
        <v>22400</v>
      </c>
      <c r="B16">
        <v>106.75</v>
      </c>
      <c r="C16">
        <v>93.28</v>
      </c>
      <c r="D16">
        <v>102.62</v>
      </c>
      <c r="E16">
        <f t="shared" si="0"/>
        <v>100.88333333333333</v>
      </c>
    </row>
    <row r="17" spans="1:5">
      <c r="A17">
        <v>24000</v>
      </c>
      <c r="B17">
        <v>103.08</v>
      </c>
      <c r="C17">
        <v>100.72</v>
      </c>
      <c r="D17">
        <v>102.24</v>
      </c>
      <c r="E17">
        <f t="shared" si="0"/>
        <v>102.01333333333334</v>
      </c>
    </row>
    <row r="18" spans="1:5">
      <c r="A18">
        <v>25600</v>
      </c>
      <c r="B18">
        <v>109.32</v>
      </c>
      <c r="C18">
        <v>103.46</v>
      </c>
      <c r="D18">
        <v>107.91</v>
      </c>
      <c r="E18">
        <f t="shared" si="0"/>
        <v>106.89666666666665</v>
      </c>
    </row>
    <row r="19" spans="1:5">
      <c r="A19">
        <v>27200</v>
      </c>
      <c r="C19">
        <v>118.56</v>
      </c>
      <c r="D19">
        <v>117</v>
      </c>
      <c r="E19">
        <f t="shared" si="0"/>
        <v>117.78</v>
      </c>
    </row>
    <row r="20" spans="1:5">
      <c r="A20">
        <v>28800</v>
      </c>
      <c r="B20">
        <v>121.08</v>
      </c>
      <c r="C20">
        <v>116.79</v>
      </c>
      <c r="D20">
        <v>121.54</v>
      </c>
      <c r="E20">
        <f t="shared" si="0"/>
        <v>119.80333333333334</v>
      </c>
    </row>
    <row r="21" spans="1:5">
      <c r="A21">
        <v>30400</v>
      </c>
      <c r="B21">
        <v>117.79</v>
      </c>
      <c r="C21">
        <v>123.79</v>
      </c>
      <c r="D21">
        <v>124.25</v>
      </c>
      <c r="E21">
        <f t="shared" si="0"/>
        <v>121.94333333333334</v>
      </c>
    </row>
    <row r="22" spans="1:5">
      <c r="A22">
        <v>32000</v>
      </c>
      <c r="B22">
        <v>126</v>
      </c>
      <c r="C22">
        <v>124.77</v>
      </c>
      <c r="D22">
        <v>129.32</v>
      </c>
      <c r="E22">
        <f t="shared" si="0"/>
        <v>126.69666666666666</v>
      </c>
    </row>
    <row r="23" spans="1:5">
      <c r="A23">
        <v>33600</v>
      </c>
      <c r="B23">
        <v>128.86000000000001</v>
      </c>
      <c r="C23">
        <v>125.25</v>
      </c>
      <c r="D23">
        <v>130.22999999999999</v>
      </c>
      <c r="E23">
        <f t="shared" si="0"/>
        <v>128.11333333333334</v>
      </c>
    </row>
    <row r="24" spans="1:5">
      <c r="A24">
        <v>35200</v>
      </c>
      <c r="B24">
        <v>125.77</v>
      </c>
      <c r="C24">
        <v>134.69999999999999</v>
      </c>
      <c r="D24">
        <v>140.47</v>
      </c>
      <c r="E24">
        <f t="shared" si="0"/>
        <v>133.64666666666665</v>
      </c>
    </row>
    <row r="25" spans="1:5">
      <c r="A25">
        <v>36800</v>
      </c>
      <c r="B25">
        <v>128.71</v>
      </c>
      <c r="C25">
        <v>129.69999999999999</v>
      </c>
      <c r="D25">
        <v>129.71</v>
      </c>
      <c r="E25">
        <f t="shared" si="0"/>
        <v>129.37333333333333</v>
      </c>
    </row>
    <row r="26" spans="1:5">
      <c r="A26">
        <v>38400</v>
      </c>
      <c r="B26">
        <v>138.03</v>
      </c>
      <c r="C26">
        <v>134.91</v>
      </c>
      <c r="D26">
        <v>131</v>
      </c>
      <c r="E26">
        <f t="shared" si="0"/>
        <v>134.64666666666668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099E-5C4A-427C-B654-525994D4512D}">
  <dimension ref="A1:R20"/>
  <sheetViews>
    <sheetView workbookViewId="0"/>
  </sheetViews>
  <sheetFormatPr defaultRowHeight="14.4"/>
  <sheetData>
    <row r="1" spans="1:18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127</v>
      </c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>
        <v>400</v>
      </c>
      <c r="B2" s="1"/>
      <c r="C2" s="1"/>
      <c r="D2" s="1"/>
      <c r="E2" s="1"/>
      <c r="F2" s="1"/>
      <c r="G2" s="1" t="e">
        <f t="shared" ref="G2:G16" si="0">AVERAGE(B2:F2)</f>
        <v>#DIV/0!</v>
      </c>
      <c r="H2" s="1" t="e">
        <f t="shared" ref="H2:H16" si="1">_xlfn.STDEV.S(B2:F2)</f>
        <v>#DIV/0!</v>
      </c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>
        <v>600</v>
      </c>
      <c r="B3" s="1"/>
      <c r="C3" s="1"/>
      <c r="D3" s="1"/>
      <c r="E3" s="1"/>
      <c r="F3" s="1"/>
      <c r="G3" s="1" t="e">
        <f t="shared" si="0"/>
        <v>#DIV/0!</v>
      </c>
      <c r="H3" s="1" t="e">
        <f t="shared" si="1"/>
        <v>#DIV/0!</v>
      </c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1">
        <v>800</v>
      </c>
      <c r="B4" s="1"/>
      <c r="C4" s="1"/>
      <c r="D4" s="1"/>
      <c r="E4" s="1"/>
      <c r="F4" s="1"/>
      <c r="G4" s="1" t="e">
        <f t="shared" si="0"/>
        <v>#DIV/0!</v>
      </c>
      <c r="H4" s="1" t="e">
        <f t="shared" si="1"/>
        <v>#DIV/0!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s="1">
        <v>1000</v>
      </c>
      <c r="B5" s="1"/>
      <c r="C5" s="1"/>
      <c r="D5" s="1"/>
      <c r="E5" s="1"/>
      <c r="F5" s="1"/>
      <c r="G5" s="1" t="e">
        <f t="shared" si="0"/>
        <v>#DIV/0!</v>
      </c>
      <c r="H5" s="1" t="e">
        <f t="shared" si="1"/>
        <v>#DIV/0!</v>
      </c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>
      <c r="A6" s="1">
        <v>1200</v>
      </c>
      <c r="B6" s="1"/>
      <c r="C6" s="1"/>
      <c r="D6" s="1"/>
      <c r="E6" s="1"/>
      <c r="F6" s="1"/>
      <c r="G6" s="1" t="e">
        <f t="shared" si="0"/>
        <v>#DIV/0!</v>
      </c>
      <c r="H6" s="1" t="e">
        <f t="shared" si="1"/>
        <v>#DIV/0!</v>
      </c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>
      <c r="A7" s="1">
        <v>1400</v>
      </c>
      <c r="B7" s="1"/>
      <c r="C7" s="1"/>
      <c r="D7" s="1"/>
      <c r="E7" s="1"/>
      <c r="F7" s="1"/>
      <c r="G7" s="1" t="e">
        <f t="shared" si="0"/>
        <v>#DIV/0!</v>
      </c>
      <c r="H7" s="1" t="e">
        <f t="shared" si="1"/>
        <v>#DIV/0!</v>
      </c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>
      <c r="A8" s="1">
        <v>1600</v>
      </c>
      <c r="B8" s="1"/>
      <c r="C8" s="1"/>
      <c r="D8" s="1"/>
      <c r="E8" s="1"/>
      <c r="F8" s="1"/>
      <c r="G8" s="1" t="e">
        <f t="shared" si="0"/>
        <v>#DIV/0!</v>
      </c>
      <c r="H8" s="1" t="e">
        <f t="shared" si="1"/>
        <v>#DIV/0!</v>
      </c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>
      <c r="A9" s="1">
        <v>1800</v>
      </c>
      <c r="B9" s="1"/>
      <c r="C9" s="1"/>
      <c r="D9" s="1"/>
      <c r="E9" s="1"/>
      <c r="F9" s="1"/>
      <c r="G9" s="1" t="e">
        <f t="shared" si="0"/>
        <v>#DIV/0!</v>
      </c>
      <c r="H9" s="1" t="e">
        <f t="shared" si="1"/>
        <v>#DIV/0!</v>
      </c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>
      <c r="A10" s="1">
        <v>2000</v>
      </c>
      <c r="B10" s="1"/>
      <c r="C10" s="1"/>
      <c r="D10" s="1"/>
      <c r="E10" s="1"/>
      <c r="F10" s="1"/>
      <c r="G10" s="1" t="e">
        <f t="shared" si="0"/>
        <v>#DIV/0!</v>
      </c>
      <c r="H10" s="1" t="e">
        <f t="shared" si="1"/>
        <v>#DIV/0!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>
      <c r="A11" s="1">
        <v>2200</v>
      </c>
      <c r="B11" s="1"/>
      <c r="C11" s="1"/>
      <c r="D11" s="1"/>
      <c r="E11" s="1"/>
      <c r="F11" s="1"/>
      <c r="G11" s="1" t="e">
        <f t="shared" si="0"/>
        <v>#DIV/0!</v>
      </c>
      <c r="H11" s="1" t="e">
        <f t="shared" si="1"/>
        <v>#DIV/0!</v>
      </c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>
      <c r="A12" s="1">
        <v>2400</v>
      </c>
      <c r="B12" s="1"/>
      <c r="C12" s="1"/>
      <c r="D12" s="1"/>
      <c r="E12" s="1"/>
      <c r="F12" s="1"/>
      <c r="G12" s="1" t="e">
        <f t="shared" si="0"/>
        <v>#DIV/0!</v>
      </c>
      <c r="H12" s="1" t="e">
        <f t="shared" si="1"/>
        <v>#DIV/0!</v>
      </c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>
      <c r="A13" s="1">
        <v>2600</v>
      </c>
      <c r="B13" s="1"/>
      <c r="C13" s="1"/>
      <c r="D13" s="1"/>
      <c r="E13" s="1"/>
      <c r="F13" s="1"/>
      <c r="G13" s="1" t="e">
        <f t="shared" si="0"/>
        <v>#DIV/0!</v>
      </c>
      <c r="H13" s="1" t="e">
        <f t="shared" si="1"/>
        <v>#DIV/0!</v>
      </c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>
      <c r="A14" s="1">
        <v>2800</v>
      </c>
      <c r="B14" s="1"/>
      <c r="C14" s="1"/>
      <c r="D14" s="1"/>
      <c r="E14" s="1"/>
      <c r="F14" s="1"/>
      <c r="G14" s="1" t="e">
        <f t="shared" si="0"/>
        <v>#DIV/0!</v>
      </c>
      <c r="H14" s="1" t="e">
        <f t="shared" si="1"/>
        <v>#DIV/0!</v>
      </c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>
      <c r="A15" s="1">
        <v>3000</v>
      </c>
      <c r="B15" s="1"/>
      <c r="C15" s="1"/>
      <c r="D15" s="1"/>
      <c r="E15" s="1"/>
      <c r="F15" s="1"/>
      <c r="G15" s="1" t="e">
        <f t="shared" si="0"/>
        <v>#DIV/0!</v>
      </c>
      <c r="H15" s="1" t="e">
        <f t="shared" si="1"/>
        <v>#DIV/0!</v>
      </c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>
      <c r="A16" s="1">
        <v>3200</v>
      </c>
      <c r="B16" s="1"/>
      <c r="C16" s="1"/>
      <c r="D16" s="1"/>
      <c r="E16" s="1"/>
      <c r="F16" s="1"/>
      <c r="G16" s="1" t="e">
        <f t="shared" si="0"/>
        <v>#DIV/0!</v>
      </c>
      <c r="H16" s="1" t="e">
        <f t="shared" si="1"/>
        <v>#DIV/0!</v>
      </c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436A5-E4C4-4739-AEFF-31E9591B45A6}">
  <dimension ref="A1:U45"/>
  <sheetViews>
    <sheetView topLeftCell="A6" zoomScale="94" zoomScaleNormal="94" workbookViewId="0">
      <selection activeCell="C2" sqref="C2"/>
    </sheetView>
  </sheetViews>
  <sheetFormatPr defaultRowHeight="14.4"/>
  <cols>
    <col min="1" max="1" width="13.33203125" style="1" customWidth="1"/>
    <col min="2" max="2" width="14.109375" style="1" customWidth="1"/>
    <col min="3" max="3" width="10.6640625" style="1" customWidth="1"/>
  </cols>
  <sheetData>
    <row r="1" spans="1:10">
      <c r="A1" s="1" t="s">
        <v>113</v>
      </c>
      <c r="B1" s="1" t="s">
        <v>145</v>
      </c>
      <c r="C1" s="1" t="s">
        <v>87</v>
      </c>
      <c r="H1" t="s">
        <v>126</v>
      </c>
      <c r="I1" t="s">
        <v>127</v>
      </c>
      <c r="J1" t="s">
        <v>146</v>
      </c>
    </row>
    <row r="2" spans="1:10">
      <c r="A2" s="1">
        <v>200</v>
      </c>
      <c r="B2" s="1">
        <v>1</v>
      </c>
      <c r="C2" s="1">
        <v>92.1</v>
      </c>
      <c r="D2" s="1">
        <v>92.790999999999997</v>
      </c>
      <c r="E2" s="1">
        <v>95.394000000000005</v>
      </c>
      <c r="G2" s="1">
        <v>92.47</v>
      </c>
      <c r="H2">
        <f>AVERAGE(C2:G2)</f>
        <v>93.188749999999999</v>
      </c>
      <c r="I2">
        <f>_xlfn.STDEV.S(C2:G2)</f>
        <v>1.4970315906263791</v>
      </c>
      <c r="J2">
        <f t="shared" ref="J2:J43" si="0">H2*1000/444</f>
        <v>209.88457207207207</v>
      </c>
    </row>
    <row r="3" spans="1:10">
      <c r="A3" s="1">
        <v>200</v>
      </c>
      <c r="B3" s="1">
        <v>2</v>
      </c>
      <c r="C3" s="1">
        <v>181.06</v>
      </c>
      <c r="D3" s="1">
        <v>188.16</v>
      </c>
      <c r="E3" s="1">
        <v>191.25</v>
      </c>
      <c r="F3" s="1">
        <v>182.64</v>
      </c>
      <c r="G3" s="1">
        <v>181.24</v>
      </c>
      <c r="H3">
        <f t="shared" ref="H3:H22" si="1">AVERAGE(C3:G3)</f>
        <v>184.87</v>
      </c>
      <c r="I3">
        <f t="shared" ref="I3:I11" si="2">_xlfn.STDEV.S(C3:G3)</f>
        <v>4.5878753252458804</v>
      </c>
      <c r="J3">
        <f t="shared" si="0"/>
        <v>416.37387387387389</v>
      </c>
    </row>
    <row r="4" spans="1:10">
      <c r="A4" s="1">
        <v>200</v>
      </c>
      <c r="B4" s="1">
        <v>3</v>
      </c>
      <c r="C4" s="1">
        <v>335.56</v>
      </c>
      <c r="D4" s="1">
        <v>336.94</v>
      </c>
      <c r="E4" s="1">
        <v>335.39</v>
      </c>
      <c r="F4" s="1">
        <v>328.57</v>
      </c>
      <c r="G4" s="1">
        <v>328.5</v>
      </c>
      <c r="H4">
        <f t="shared" si="1"/>
        <v>332.99200000000002</v>
      </c>
      <c r="I4">
        <f t="shared" si="2"/>
        <v>4.1129028678051709</v>
      </c>
      <c r="J4">
        <f t="shared" si="0"/>
        <v>749.98198198198202</v>
      </c>
    </row>
    <row r="5" spans="1:10">
      <c r="A5" s="1">
        <v>200</v>
      </c>
      <c r="B5" s="1">
        <v>4</v>
      </c>
      <c r="C5" s="1">
        <v>505.68</v>
      </c>
      <c r="D5" s="1">
        <v>492.08</v>
      </c>
      <c r="E5" s="1">
        <v>477.97</v>
      </c>
      <c r="F5" s="1">
        <v>506.43</v>
      </c>
      <c r="G5" s="1">
        <v>504.98</v>
      </c>
      <c r="H5">
        <f t="shared" si="1"/>
        <v>497.42800000000005</v>
      </c>
      <c r="I5">
        <f t="shared" si="2"/>
        <v>12.383245535803606</v>
      </c>
      <c r="J5">
        <f t="shared" si="0"/>
        <v>1120.3333333333335</v>
      </c>
    </row>
    <row r="6" spans="1:10">
      <c r="A6" s="1">
        <v>200</v>
      </c>
      <c r="B6" s="1">
        <v>5</v>
      </c>
      <c r="C6" s="1">
        <v>666.06</v>
      </c>
      <c r="D6" s="1">
        <v>671.87</v>
      </c>
      <c r="E6" s="1">
        <v>672.34</v>
      </c>
      <c r="F6" s="1">
        <v>658.38</v>
      </c>
      <c r="G6" s="1">
        <v>659.87</v>
      </c>
      <c r="H6">
        <f t="shared" si="1"/>
        <v>665.70399999999995</v>
      </c>
      <c r="I6">
        <f t="shared" si="2"/>
        <v>6.5165044310581193</v>
      </c>
      <c r="J6">
        <f t="shared" si="0"/>
        <v>1499.3333333333333</v>
      </c>
    </row>
    <row r="7" spans="1:10">
      <c r="A7" s="1">
        <v>200</v>
      </c>
      <c r="B7" s="1">
        <v>6</v>
      </c>
      <c r="C7" s="1">
        <v>832.31</v>
      </c>
      <c r="D7" s="1">
        <v>826.3</v>
      </c>
      <c r="E7" s="1">
        <v>809.04</v>
      </c>
      <c r="F7" s="1">
        <v>832.04</v>
      </c>
      <c r="G7">
        <v>792.274</v>
      </c>
      <c r="H7">
        <f t="shared" si="1"/>
        <v>818.39279999999985</v>
      </c>
      <c r="I7">
        <f t="shared" si="2"/>
        <v>17.407792197748666</v>
      </c>
      <c r="J7">
        <f t="shared" si="0"/>
        <v>1843.2270270270267</v>
      </c>
    </row>
    <row r="8" spans="1:10">
      <c r="A8" s="1">
        <v>200</v>
      </c>
      <c r="B8" s="1">
        <v>7</v>
      </c>
      <c r="H8" t="e">
        <f t="shared" si="1"/>
        <v>#DIV/0!</v>
      </c>
      <c r="I8" t="e">
        <f t="shared" si="2"/>
        <v>#DIV/0!</v>
      </c>
      <c r="J8" t="e">
        <f t="shared" si="0"/>
        <v>#DIV/0!</v>
      </c>
    </row>
    <row r="9" spans="1:10">
      <c r="A9" s="1">
        <v>200</v>
      </c>
      <c r="B9" s="1">
        <v>8</v>
      </c>
      <c r="H9" t="e">
        <f t="shared" si="1"/>
        <v>#DIV/0!</v>
      </c>
      <c r="I9" t="e">
        <f t="shared" si="2"/>
        <v>#DIV/0!</v>
      </c>
      <c r="J9" t="e">
        <f t="shared" si="0"/>
        <v>#DIV/0!</v>
      </c>
    </row>
    <row r="10" spans="1:10">
      <c r="A10" s="1">
        <v>200</v>
      </c>
      <c r="B10" s="1">
        <v>9</v>
      </c>
      <c r="H10" t="e">
        <f t="shared" si="1"/>
        <v>#DIV/0!</v>
      </c>
      <c r="I10" t="e">
        <f t="shared" si="2"/>
        <v>#DIV/0!</v>
      </c>
      <c r="J10" t="e">
        <f t="shared" si="0"/>
        <v>#DIV/0!</v>
      </c>
    </row>
    <row r="11" spans="1:10">
      <c r="A11" s="1">
        <v>200</v>
      </c>
      <c r="B11" s="1">
        <v>10</v>
      </c>
      <c r="H11" t="e">
        <f t="shared" si="1"/>
        <v>#DIV/0!</v>
      </c>
      <c r="I11" t="e">
        <f t="shared" si="2"/>
        <v>#DIV/0!</v>
      </c>
      <c r="J11" t="e">
        <f t="shared" si="0"/>
        <v>#DIV/0!</v>
      </c>
    </row>
    <row r="12" spans="1:10">
      <c r="I12" s="45">
        <f>AVERAGE(I2:I7)</f>
        <v>7.7508919913813044</v>
      </c>
    </row>
    <row r="13" spans="1:10">
      <c r="A13" s="1">
        <v>800</v>
      </c>
      <c r="B13" s="1">
        <v>1</v>
      </c>
      <c r="C13" s="43">
        <v>91.79</v>
      </c>
      <c r="D13" s="43">
        <v>107.48</v>
      </c>
      <c r="E13" s="43">
        <v>76.09</v>
      </c>
      <c r="F13" s="43">
        <v>92.54</v>
      </c>
      <c r="G13" s="43">
        <v>90.79</v>
      </c>
      <c r="H13">
        <f t="shared" si="1"/>
        <v>91.738000000000014</v>
      </c>
      <c r="I13">
        <f>_xlfn.STDEV.S(C13:G13)</f>
        <v>11.11547434885245</v>
      </c>
      <c r="J13">
        <f t="shared" si="0"/>
        <v>206.61711711711715</v>
      </c>
    </row>
    <row r="14" spans="1:10">
      <c r="A14" s="1">
        <v>800</v>
      </c>
      <c r="B14" s="1">
        <v>2</v>
      </c>
      <c r="C14" s="43">
        <v>175.14</v>
      </c>
      <c r="D14" s="43">
        <v>177.07</v>
      </c>
      <c r="E14" s="43">
        <v>185.71</v>
      </c>
      <c r="F14" s="43">
        <v>184.26</v>
      </c>
      <c r="G14" s="43">
        <v>198.25</v>
      </c>
      <c r="H14">
        <f t="shared" si="1"/>
        <v>184.08599999999998</v>
      </c>
      <c r="I14">
        <f t="shared" ref="I14:I22" si="3">_xlfn.STDEV.S(C14:G14)</f>
        <v>9.1178632365264232</v>
      </c>
      <c r="J14">
        <f t="shared" si="0"/>
        <v>414.60810810810807</v>
      </c>
    </row>
    <row r="15" spans="1:10">
      <c r="A15" s="1">
        <v>800</v>
      </c>
      <c r="B15" s="1">
        <v>3</v>
      </c>
      <c r="C15" s="43">
        <v>281.82</v>
      </c>
      <c r="D15" s="43">
        <v>305.33999999999997</v>
      </c>
      <c r="E15" s="43">
        <v>289.02999999999997</v>
      </c>
      <c r="F15" s="43">
        <v>300.87</v>
      </c>
      <c r="G15" s="43">
        <v>284.35000000000002</v>
      </c>
      <c r="H15">
        <f t="shared" si="1"/>
        <v>292.28199999999998</v>
      </c>
      <c r="I15">
        <f t="shared" si="3"/>
        <v>10.334537725510506</v>
      </c>
      <c r="J15">
        <f t="shared" si="0"/>
        <v>658.29279279279274</v>
      </c>
    </row>
    <row r="16" spans="1:10">
      <c r="A16" s="1">
        <v>800</v>
      </c>
      <c r="B16" s="1">
        <v>4</v>
      </c>
      <c r="C16" s="43">
        <v>392.26</v>
      </c>
      <c r="D16" s="43">
        <v>409.4</v>
      </c>
      <c r="E16" s="43">
        <v>401.85</v>
      </c>
      <c r="F16" s="43">
        <v>404.17</v>
      </c>
      <c r="G16" s="43">
        <v>405.61</v>
      </c>
      <c r="H16">
        <f t="shared" si="1"/>
        <v>402.65800000000002</v>
      </c>
      <c r="I16">
        <f t="shared" si="3"/>
        <v>6.4270187490001929</v>
      </c>
      <c r="J16">
        <f t="shared" si="0"/>
        <v>906.88738738738743</v>
      </c>
    </row>
    <row r="17" spans="1:21">
      <c r="A17" s="1">
        <v>800</v>
      </c>
      <c r="B17" s="1">
        <v>5</v>
      </c>
      <c r="C17" s="43">
        <v>487.37</v>
      </c>
      <c r="D17" s="43">
        <v>500.27</v>
      </c>
      <c r="E17" s="43">
        <v>496.5</v>
      </c>
      <c r="F17" s="43">
        <v>492.75</v>
      </c>
      <c r="G17" s="43">
        <v>495.72</v>
      </c>
      <c r="H17">
        <f t="shared" si="1"/>
        <v>494.52199999999993</v>
      </c>
      <c r="I17">
        <f t="shared" si="3"/>
        <v>4.8134779525827218</v>
      </c>
      <c r="J17">
        <f t="shared" si="0"/>
        <v>1113.7882882882882</v>
      </c>
    </row>
    <row r="18" spans="1:21">
      <c r="A18" s="1">
        <v>800</v>
      </c>
      <c r="B18" s="1">
        <v>6</v>
      </c>
      <c r="C18" s="43">
        <v>670.43</v>
      </c>
      <c r="D18" s="43">
        <v>580.59</v>
      </c>
      <c r="E18" s="43">
        <v>572.16999999999996</v>
      </c>
      <c r="F18" s="43">
        <v>572.21</v>
      </c>
      <c r="G18" s="43">
        <v>572.11</v>
      </c>
      <c r="H18">
        <f t="shared" si="1"/>
        <v>593.50200000000007</v>
      </c>
      <c r="I18">
        <f t="shared" si="3"/>
        <v>43.15859728953199</v>
      </c>
      <c r="J18">
        <f t="shared" si="0"/>
        <v>1336.7162162162165</v>
      </c>
    </row>
    <row r="19" spans="1:21">
      <c r="A19" s="1">
        <v>800</v>
      </c>
      <c r="B19" s="1">
        <v>7</v>
      </c>
      <c r="C19" s="43">
        <v>651.15</v>
      </c>
      <c r="D19" s="43">
        <v>649.52</v>
      </c>
      <c r="E19" s="43">
        <v>649.91999999999996</v>
      </c>
      <c r="F19" s="43">
        <v>653.64</v>
      </c>
      <c r="G19" s="43">
        <v>670.87</v>
      </c>
      <c r="H19">
        <f t="shared" si="1"/>
        <v>655.02</v>
      </c>
      <c r="I19">
        <f t="shared" si="3"/>
        <v>9.0050513602089044</v>
      </c>
      <c r="J19">
        <f t="shared" si="0"/>
        <v>1475.2702702702702</v>
      </c>
    </row>
    <row r="20" spans="1:21">
      <c r="A20" s="1">
        <v>800</v>
      </c>
      <c r="B20" s="1">
        <v>8</v>
      </c>
      <c r="C20" s="43">
        <v>719.03</v>
      </c>
      <c r="D20" s="43">
        <v>717.58</v>
      </c>
      <c r="E20" s="43">
        <v>696.56</v>
      </c>
      <c r="F20" s="43">
        <v>741.99</v>
      </c>
      <c r="G20" s="43">
        <v>718.29</v>
      </c>
      <c r="H20">
        <f t="shared" si="1"/>
        <v>718.68999999999994</v>
      </c>
      <c r="I20">
        <f t="shared" si="3"/>
        <v>16.078981621980937</v>
      </c>
      <c r="J20">
        <f t="shared" si="0"/>
        <v>1618.671171171171</v>
      </c>
    </row>
    <row r="21" spans="1:21">
      <c r="A21" s="1">
        <v>800</v>
      </c>
      <c r="B21" s="1">
        <v>9</v>
      </c>
      <c r="C21" s="43">
        <v>806.07</v>
      </c>
      <c r="D21" s="43">
        <v>789.61</v>
      </c>
      <c r="E21" s="43">
        <v>816.4</v>
      </c>
      <c r="F21" s="43">
        <v>793.28</v>
      </c>
      <c r="G21" s="43">
        <v>792.67</v>
      </c>
      <c r="H21">
        <f t="shared" si="1"/>
        <v>799.60599999999999</v>
      </c>
      <c r="I21">
        <f t="shared" si="3"/>
        <v>11.312251323233591</v>
      </c>
      <c r="J21">
        <f t="shared" si="0"/>
        <v>1800.9144144144145</v>
      </c>
    </row>
    <row r="22" spans="1:21">
      <c r="A22" s="1">
        <v>800</v>
      </c>
      <c r="B22" s="1">
        <v>10</v>
      </c>
      <c r="C22" s="43">
        <v>871.98</v>
      </c>
      <c r="D22" s="43">
        <v>854.54</v>
      </c>
      <c r="E22" s="43">
        <v>868.03</v>
      </c>
      <c r="F22" s="43">
        <v>883.22</v>
      </c>
      <c r="G22" s="43">
        <v>859.37</v>
      </c>
      <c r="H22">
        <f t="shared" si="1"/>
        <v>867.42800000000011</v>
      </c>
      <c r="I22">
        <f t="shared" si="3"/>
        <v>11.197123291274437</v>
      </c>
      <c r="J22">
        <f t="shared" si="0"/>
        <v>1953.666666666667</v>
      </c>
    </row>
    <row r="23" spans="1:21">
      <c r="C23" s="43"/>
      <c r="D23" s="44"/>
      <c r="E23" s="44"/>
      <c r="F23" s="44"/>
      <c r="G23" s="44"/>
      <c r="I23" s="45">
        <f>AVERAGE(I13:I22)</f>
        <v>13.256037689870217</v>
      </c>
    </row>
    <row r="24" spans="1:21">
      <c r="A24" s="1">
        <v>1600</v>
      </c>
      <c r="B24" s="1">
        <v>1</v>
      </c>
      <c r="C24" s="43">
        <v>87.100999999999999</v>
      </c>
      <c r="D24" s="43">
        <v>85.073999999999998</v>
      </c>
      <c r="E24" s="43">
        <v>85.811000000000007</v>
      </c>
      <c r="F24" s="43">
        <v>86.209000000000003</v>
      </c>
      <c r="G24" s="43">
        <v>85.994</v>
      </c>
      <c r="H24">
        <f>AVERAGE(C24:G24)</f>
        <v>86.03779999999999</v>
      </c>
      <c r="I24">
        <f>_xlfn.STDEV.S(C24:G24)</f>
        <v>0.73177366719498727</v>
      </c>
      <c r="J24">
        <f t="shared" si="0"/>
        <v>193.77882882882881</v>
      </c>
    </row>
    <row r="25" spans="1:21">
      <c r="A25" s="1">
        <v>1600</v>
      </c>
      <c r="B25" s="1">
        <v>2</v>
      </c>
      <c r="C25" s="1">
        <v>161.62</v>
      </c>
      <c r="D25" s="1">
        <v>156.88</v>
      </c>
      <c r="E25" s="1">
        <v>163.82</v>
      </c>
      <c r="F25" s="1">
        <v>162.06</v>
      </c>
      <c r="G25" s="1">
        <v>164.09</v>
      </c>
      <c r="H25">
        <f t="shared" ref="H25:H44" si="4">AVERAGE(C25:G25)</f>
        <v>161.69400000000002</v>
      </c>
      <c r="I25">
        <f t="shared" ref="I25:I33" si="5">_xlfn.STDEV.S(C25:G25)</f>
        <v>2.8971848404960303</v>
      </c>
      <c r="J25">
        <f t="shared" si="0"/>
        <v>364.17567567567573</v>
      </c>
      <c r="Q25" s="1"/>
      <c r="R25" s="1"/>
      <c r="S25" s="1"/>
      <c r="T25" s="1"/>
      <c r="U25" s="1"/>
    </row>
    <row r="26" spans="1:21">
      <c r="A26" s="1">
        <v>1600</v>
      </c>
      <c r="B26" s="1">
        <v>3</v>
      </c>
      <c r="C26" s="1">
        <v>248.66</v>
      </c>
      <c r="D26" s="1">
        <v>244.97</v>
      </c>
      <c r="E26" s="1">
        <v>245.83</v>
      </c>
      <c r="F26" s="1">
        <v>231.23</v>
      </c>
      <c r="G26" s="1">
        <v>235.93</v>
      </c>
      <c r="H26">
        <f t="shared" si="4"/>
        <v>241.32400000000001</v>
      </c>
      <c r="I26">
        <f t="shared" si="5"/>
        <v>7.3891528607818122</v>
      </c>
      <c r="J26">
        <f t="shared" si="0"/>
        <v>543.52252252252254</v>
      </c>
      <c r="Q26" s="1"/>
      <c r="R26" s="1"/>
    </row>
    <row r="27" spans="1:21">
      <c r="A27" s="1">
        <v>1600</v>
      </c>
      <c r="B27" s="1">
        <v>4</v>
      </c>
      <c r="C27" s="1">
        <v>324.47000000000003</v>
      </c>
      <c r="D27" s="1">
        <v>318.94</v>
      </c>
      <c r="E27" s="1">
        <v>299.2</v>
      </c>
      <c r="F27" s="1">
        <v>290.56</v>
      </c>
      <c r="G27" s="1">
        <v>290.60000000000002</v>
      </c>
      <c r="H27">
        <f t="shared" si="4"/>
        <v>304.75400000000002</v>
      </c>
      <c r="I27">
        <f t="shared" si="5"/>
        <v>15.989180091549413</v>
      </c>
      <c r="J27">
        <f t="shared" si="0"/>
        <v>686.38288288288288</v>
      </c>
    </row>
    <row r="28" spans="1:21">
      <c r="A28" s="1">
        <v>1600</v>
      </c>
      <c r="B28" s="1">
        <v>5</v>
      </c>
      <c r="C28" s="1">
        <v>365.92</v>
      </c>
      <c r="D28" s="1">
        <v>344.22</v>
      </c>
      <c r="E28" s="1">
        <v>342.66</v>
      </c>
      <c r="F28" s="1">
        <v>348.73</v>
      </c>
      <c r="G28" s="1">
        <v>348.89</v>
      </c>
      <c r="H28">
        <f t="shared" si="4"/>
        <v>350.084</v>
      </c>
      <c r="I28">
        <f t="shared" si="5"/>
        <v>9.2674176554205197</v>
      </c>
      <c r="J28">
        <f t="shared" si="0"/>
        <v>788.47747747747746</v>
      </c>
    </row>
    <row r="29" spans="1:21">
      <c r="A29" s="1">
        <v>1600</v>
      </c>
      <c r="B29" s="1">
        <v>6</v>
      </c>
      <c r="C29" s="1">
        <v>391.8</v>
      </c>
      <c r="D29" s="1">
        <v>385.22</v>
      </c>
      <c r="E29" s="1">
        <v>391.98</v>
      </c>
      <c r="F29" s="1">
        <v>399.87</v>
      </c>
      <c r="G29" s="1">
        <v>382.64</v>
      </c>
      <c r="H29">
        <f t="shared" si="4"/>
        <v>390.30199999999996</v>
      </c>
      <c r="I29">
        <f t="shared" si="5"/>
        <v>6.729399676048379</v>
      </c>
      <c r="J29">
        <f t="shared" si="0"/>
        <v>879.05855855855839</v>
      </c>
    </row>
    <row r="30" spans="1:21">
      <c r="A30" s="1">
        <v>1600</v>
      </c>
      <c r="B30" s="1">
        <v>7</v>
      </c>
      <c r="C30" s="1">
        <v>438.87</v>
      </c>
      <c r="D30" s="1">
        <v>441.25</v>
      </c>
      <c r="E30" s="1">
        <v>433.76</v>
      </c>
      <c r="F30" s="1">
        <v>438.72</v>
      </c>
      <c r="G30" s="1">
        <v>432.78</v>
      </c>
      <c r="H30">
        <f t="shared" si="4"/>
        <v>437.07600000000002</v>
      </c>
      <c r="I30">
        <f t="shared" si="5"/>
        <v>3.6330056427151471</v>
      </c>
      <c r="J30">
        <f t="shared" si="0"/>
        <v>984.40540540540542</v>
      </c>
    </row>
    <row r="31" spans="1:21">
      <c r="A31" s="1">
        <v>1600</v>
      </c>
      <c r="B31" s="1">
        <v>8</v>
      </c>
      <c r="C31" s="1">
        <v>492.28</v>
      </c>
      <c r="D31" s="1">
        <v>474.57</v>
      </c>
      <c r="E31" s="1">
        <v>458.22</v>
      </c>
      <c r="F31" s="1">
        <v>473.88</v>
      </c>
      <c r="G31" s="1">
        <v>469.4</v>
      </c>
      <c r="H31">
        <f t="shared" si="4"/>
        <v>473.66999999999996</v>
      </c>
      <c r="I31">
        <f t="shared" si="5"/>
        <v>12.289442623650578</v>
      </c>
      <c r="J31">
        <f t="shared" si="0"/>
        <v>1066.8243243243242</v>
      </c>
    </row>
    <row r="32" spans="1:21">
      <c r="A32" s="1">
        <v>1600</v>
      </c>
      <c r="B32" s="1">
        <v>9</v>
      </c>
      <c r="C32" s="1">
        <v>528.12</v>
      </c>
      <c r="D32" s="1">
        <v>495.79</v>
      </c>
      <c r="E32" s="1">
        <v>512.25</v>
      </c>
      <c r="F32" s="1">
        <v>501.71</v>
      </c>
      <c r="G32" s="1">
        <v>502.89</v>
      </c>
      <c r="H32">
        <f t="shared" si="4"/>
        <v>508.15200000000004</v>
      </c>
      <c r="I32">
        <f t="shared" si="5"/>
        <v>12.624595835114881</v>
      </c>
      <c r="J32">
        <f t="shared" si="0"/>
        <v>1144.4864864864867</v>
      </c>
    </row>
    <row r="33" spans="1:10">
      <c r="A33" s="1">
        <v>1600</v>
      </c>
      <c r="B33" s="1">
        <v>10</v>
      </c>
      <c r="C33" s="1">
        <v>553.84</v>
      </c>
      <c r="D33" s="1">
        <v>549.07000000000005</v>
      </c>
      <c r="E33" s="1">
        <v>519.84</v>
      </c>
      <c r="F33" s="1">
        <v>556.27</v>
      </c>
      <c r="G33" s="1">
        <v>536.79</v>
      </c>
      <c r="H33">
        <f t="shared" si="4"/>
        <v>543.16200000000003</v>
      </c>
      <c r="I33">
        <f t="shared" si="5"/>
        <v>15.043785095513694</v>
      </c>
      <c r="J33">
        <f t="shared" si="0"/>
        <v>1223.3378378378379</v>
      </c>
    </row>
    <row r="34" spans="1:10">
      <c r="I34" s="45">
        <f>AVERAGE(I24:I33)</f>
        <v>8.6594937988485441</v>
      </c>
    </row>
    <row r="35" spans="1:10">
      <c r="A35" s="1">
        <v>3200</v>
      </c>
      <c r="B35" s="1">
        <v>1</v>
      </c>
      <c r="C35" s="43">
        <v>96.307000000000002</v>
      </c>
      <c r="D35" s="43">
        <v>94.021000000000001</v>
      </c>
      <c r="E35" s="43">
        <v>94.155000000000001</v>
      </c>
      <c r="F35" s="43">
        <v>93.69</v>
      </c>
      <c r="G35" s="43">
        <v>94.91</v>
      </c>
      <c r="H35">
        <f t="shared" si="4"/>
        <v>94.616599999999991</v>
      </c>
      <c r="I35">
        <f>_xlfn.STDEV.S(C35:G35)</f>
        <v>1.0452197376628523</v>
      </c>
      <c r="J35">
        <f t="shared" si="0"/>
        <v>213.10045045045044</v>
      </c>
    </row>
    <row r="36" spans="1:10">
      <c r="A36" s="1">
        <v>3200</v>
      </c>
      <c r="B36" s="1">
        <v>2</v>
      </c>
      <c r="C36" s="1">
        <v>128.1</v>
      </c>
      <c r="D36" s="1">
        <v>141.13999999999999</v>
      </c>
      <c r="E36" s="1">
        <v>141.28</v>
      </c>
      <c r="F36" s="1">
        <v>140.27000000000001</v>
      </c>
      <c r="G36" s="1">
        <v>141.82</v>
      </c>
      <c r="H36">
        <f t="shared" si="4"/>
        <v>138.52199999999999</v>
      </c>
      <c r="I36">
        <f>_xlfn.STDEV.S(C36:G36)</f>
        <v>5.8525823360291147</v>
      </c>
      <c r="J36">
        <f t="shared" si="0"/>
        <v>311.98648648648651</v>
      </c>
    </row>
    <row r="37" spans="1:10">
      <c r="A37" s="1">
        <v>3200</v>
      </c>
      <c r="B37" s="1">
        <v>3</v>
      </c>
      <c r="C37" s="1">
        <v>188.25</v>
      </c>
      <c r="D37" s="1">
        <v>201.51</v>
      </c>
      <c r="E37" s="1">
        <v>203.69</v>
      </c>
      <c r="F37" s="1">
        <v>203.73</v>
      </c>
      <c r="G37" s="1">
        <v>160.63999999999999</v>
      </c>
      <c r="H37">
        <f t="shared" si="4"/>
        <v>191.56400000000002</v>
      </c>
      <c r="I37">
        <f t="shared" ref="I37:I44" si="6">_xlfn.STDEV.S(C37:G37)</f>
        <v>18.447565693066391</v>
      </c>
      <c r="J37">
        <f t="shared" si="0"/>
        <v>431.45045045045049</v>
      </c>
    </row>
    <row r="38" spans="1:10">
      <c r="A38" s="1">
        <v>3200</v>
      </c>
      <c r="B38" s="1">
        <v>4</v>
      </c>
      <c r="C38" s="1">
        <v>237.66</v>
      </c>
      <c r="D38" s="1">
        <v>247.3</v>
      </c>
      <c r="E38" s="1">
        <v>251.13</v>
      </c>
      <c r="F38" s="1">
        <v>249.45</v>
      </c>
      <c r="G38" s="1">
        <v>247.72</v>
      </c>
      <c r="H38">
        <f t="shared" si="4"/>
        <v>246.65199999999999</v>
      </c>
      <c r="I38">
        <f t="shared" si="6"/>
        <v>5.2511398762554391</v>
      </c>
      <c r="J38">
        <f t="shared" si="0"/>
        <v>555.52252252252254</v>
      </c>
    </row>
    <row r="39" spans="1:10">
      <c r="A39" s="1">
        <v>3200</v>
      </c>
      <c r="B39" s="1">
        <v>5</v>
      </c>
      <c r="C39" s="1">
        <v>279.25</v>
      </c>
      <c r="D39" s="1">
        <v>280.04000000000002</v>
      </c>
      <c r="E39" s="1">
        <v>278.87</v>
      </c>
      <c r="F39" s="1">
        <v>279.31</v>
      </c>
      <c r="G39" s="1">
        <v>274.17</v>
      </c>
      <c r="H39">
        <f t="shared" si="4"/>
        <v>278.32800000000003</v>
      </c>
      <c r="I39">
        <f t="shared" si="6"/>
        <v>2.3626298906091887</v>
      </c>
      <c r="J39">
        <f t="shared" si="0"/>
        <v>626.86486486486501</v>
      </c>
    </row>
    <row r="40" spans="1:10">
      <c r="A40" s="1">
        <v>3200</v>
      </c>
      <c r="B40" s="1">
        <v>6</v>
      </c>
      <c r="C40" s="1">
        <v>300.77999999999997</v>
      </c>
      <c r="D40" s="1">
        <v>297.69</v>
      </c>
      <c r="E40" s="1">
        <v>300.14</v>
      </c>
      <c r="F40" s="1">
        <v>296.56</v>
      </c>
      <c r="G40" s="1">
        <v>298.18</v>
      </c>
      <c r="H40">
        <f t="shared" si="4"/>
        <v>298.67</v>
      </c>
      <c r="I40">
        <f t="shared" si="6"/>
        <v>1.7511139311877906</v>
      </c>
      <c r="J40">
        <f t="shared" si="0"/>
        <v>672.68018018018017</v>
      </c>
    </row>
    <row r="41" spans="1:10">
      <c r="A41" s="1">
        <v>3200</v>
      </c>
      <c r="B41" s="1">
        <v>7</v>
      </c>
      <c r="C41" s="1">
        <v>314.69</v>
      </c>
      <c r="D41" s="1">
        <v>318.82</v>
      </c>
      <c r="E41" s="1">
        <v>316.16000000000003</v>
      </c>
      <c r="F41" s="1">
        <v>319.95</v>
      </c>
      <c r="G41" s="1">
        <v>319.73</v>
      </c>
      <c r="H41">
        <f t="shared" si="4"/>
        <v>317.87</v>
      </c>
      <c r="I41">
        <f t="shared" si="6"/>
        <v>2.3305042372842801</v>
      </c>
      <c r="J41">
        <f t="shared" si="0"/>
        <v>715.9234234234234</v>
      </c>
    </row>
    <row r="42" spans="1:10">
      <c r="A42" s="1">
        <v>3200</v>
      </c>
      <c r="B42" s="1">
        <v>8</v>
      </c>
      <c r="C42" s="1">
        <v>348.7</v>
      </c>
      <c r="D42" s="1">
        <v>338.22</v>
      </c>
      <c r="E42" s="1">
        <v>338.95</v>
      </c>
      <c r="F42" s="1">
        <v>328.33</v>
      </c>
      <c r="G42" s="1">
        <v>330.72</v>
      </c>
      <c r="H42">
        <f t="shared" si="4"/>
        <v>336.98400000000004</v>
      </c>
      <c r="I42">
        <f t="shared" si="6"/>
        <v>8.0122861905950362</v>
      </c>
      <c r="J42">
        <f t="shared" si="0"/>
        <v>758.97297297297314</v>
      </c>
    </row>
    <row r="43" spans="1:10">
      <c r="A43" s="1">
        <v>3200</v>
      </c>
      <c r="B43" s="1">
        <v>9</v>
      </c>
      <c r="C43" s="1">
        <v>346.6</v>
      </c>
      <c r="D43" s="1">
        <v>344.33</v>
      </c>
      <c r="E43" s="1">
        <v>349.66</v>
      </c>
      <c r="F43" s="1">
        <v>355.46</v>
      </c>
      <c r="G43" s="1">
        <v>356.31</v>
      </c>
      <c r="H43">
        <f t="shared" si="4"/>
        <v>350.47200000000004</v>
      </c>
      <c r="I43">
        <f t="shared" si="6"/>
        <v>5.2994877110905678</v>
      </c>
      <c r="J43">
        <f t="shared" si="0"/>
        <v>789.35135135135147</v>
      </c>
    </row>
    <row r="44" spans="1:10">
      <c r="A44" s="1">
        <v>3200</v>
      </c>
      <c r="B44" s="1">
        <v>10</v>
      </c>
      <c r="C44" s="1">
        <v>366.84</v>
      </c>
      <c r="D44" s="1">
        <v>355.04</v>
      </c>
      <c r="E44" s="1">
        <v>362.35</v>
      </c>
      <c r="F44" s="1">
        <v>372.9</v>
      </c>
      <c r="G44" s="1">
        <v>358.24</v>
      </c>
      <c r="H44">
        <f t="shared" si="4"/>
        <v>363.07400000000001</v>
      </c>
      <c r="I44">
        <f t="shared" si="6"/>
        <v>7.0563786746460631</v>
      </c>
      <c r="J44">
        <f>H44*1000/444</f>
        <v>817.73423423423424</v>
      </c>
    </row>
    <row r="45" spans="1:10">
      <c r="I45" s="45">
        <f>AVERAGE(I35:I44)</f>
        <v>5.740890827842672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E436-F25A-4A2D-8F11-4B6C4B92F960}">
  <dimension ref="A1:P17"/>
  <sheetViews>
    <sheetView workbookViewId="0">
      <selection activeCell="N15" sqref="N15"/>
    </sheetView>
  </sheetViews>
  <sheetFormatPr defaultRowHeight="14.4"/>
  <cols>
    <col min="1" max="1" width="10" bestFit="1" customWidth="1"/>
    <col min="2" max="2" width="14" bestFit="1" customWidth="1"/>
    <col min="4" max="4" width="25.6640625" bestFit="1" customWidth="1"/>
    <col min="5" max="5" width="14" bestFit="1" customWidth="1"/>
    <col min="7" max="7" width="10" bestFit="1" customWidth="1"/>
    <col min="8" max="8" width="14" bestFit="1" customWidth="1"/>
    <col min="10" max="10" width="24.6640625" bestFit="1" customWidth="1"/>
    <col min="11" max="11" width="14" bestFit="1" customWidth="1"/>
    <col min="13" max="13" width="10" bestFit="1" customWidth="1"/>
    <col min="14" max="14" width="14" bestFit="1" customWidth="1"/>
    <col min="16" max="16" width="10" bestFit="1" customWidth="1"/>
  </cols>
  <sheetData>
    <row r="1" spans="1:16">
      <c r="A1" t="s">
        <v>147</v>
      </c>
      <c r="B1" t="s">
        <v>148</v>
      </c>
      <c r="D1" t="s">
        <v>149</v>
      </c>
      <c r="G1" t="s">
        <v>150</v>
      </c>
      <c r="J1" t="s">
        <v>151</v>
      </c>
    </row>
    <row r="2" spans="1:16">
      <c r="A2">
        <v>1</v>
      </c>
      <c r="B2">
        <v>45.79</v>
      </c>
      <c r="D2" t="s">
        <v>147</v>
      </c>
      <c r="E2" t="s">
        <v>148</v>
      </c>
      <c r="G2" t="s">
        <v>147</v>
      </c>
      <c r="H2" t="s">
        <v>148</v>
      </c>
      <c r="J2" t="s">
        <v>147</v>
      </c>
      <c r="K2" t="s">
        <v>148</v>
      </c>
      <c r="M2" t="s">
        <v>147</v>
      </c>
      <c r="N2" t="s">
        <v>148</v>
      </c>
    </row>
    <row r="3" spans="1:16">
      <c r="A3">
        <v>1</v>
      </c>
      <c r="B3">
        <v>46.859000000000002</v>
      </c>
      <c r="D3">
        <v>1</v>
      </c>
      <c r="E3">
        <v>48.292000000000002</v>
      </c>
      <c r="G3">
        <v>1</v>
      </c>
      <c r="H3">
        <v>46.988999999999997</v>
      </c>
      <c r="J3">
        <v>1</v>
      </c>
      <c r="K3">
        <v>47.866</v>
      </c>
      <c r="M3">
        <v>1</v>
      </c>
      <c r="N3">
        <v>47.825000000000003</v>
      </c>
    </row>
    <row r="4" spans="1:16">
      <c r="A4">
        <v>1</v>
      </c>
      <c r="B4">
        <v>46.185000000000002</v>
      </c>
      <c r="D4">
        <v>1</v>
      </c>
      <c r="E4">
        <v>46.506</v>
      </c>
      <c r="G4">
        <v>1</v>
      </c>
      <c r="H4">
        <v>45.798000000000002</v>
      </c>
      <c r="J4">
        <v>1</v>
      </c>
      <c r="K4">
        <v>48.104999999999997</v>
      </c>
      <c r="M4">
        <v>1</v>
      </c>
      <c r="N4">
        <v>48.045999999999999</v>
      </c>
    </row>
    <row r="5" spans="1:16">
      <c r="A5">
        <v>1</v>
      </c>
      <c r="B5">
        <v>49.045000000000002</v>
      </c>
      <c r="D5">
        <v>1</v>
      </c>
      <c r="E5">
        <v>47.405999999999999</v>
      </c>
      <c r="G5">
        <v>1</v>
      </c>
      <c r="H5">
        <v>44.957999999999998</v>
      </c>
      <c r="J5">
        <v>1</v>
      </c>
      <c r="K5">
        <v>47.984999999999999</v>
      </c>
      <c r="M5">
        <v>1</v>
      </c>
      <c r="N5">
        <v>47.881</v>
      </c>
    </row>
    <row r="6" spans="1:16">
      <c r="A6">
        <v>1</v>
      </c>
      <c r="B6">
        <v>48.625</v>
      </c>
      <c r="D6">
        <v>1</v>
      </c>
      <c r="E6">
        <v>46.338000000000001</v>
      </c>
      <c r="G6">
        <v>1</v>
      </c>
      <c r="H6">
        <v>44.713999999999999</v>
      </c>
      <c r="J6">
        <v>1</v>
      </c>
      <c r="K6">
        <v>47.712000000000003</v>
      </c>
      <c r="M6">
        <v>1</v>
      </c>
      <c r="N6">
        <v>47.712000000000003</v>
      </c>
    </row>
    <row r="7" spans="1:16">
      <c r="A7">
        <v>1</v>
      </c>
      <c r="B7">
        <v>48.054000000000002</v>
      </c>
      <c r="D7">
        <v>1</v>
      </c>
      <c r="E7">
        <v>47.110999999999997</v>
      </c>
      <c r="G7">
        <v>1</v>
      </c>
      <c r="H7">
        <v>41.167000000000002</v>
      </c>
      <c r="J7">
        <v>1</v>
      </c>
      <c r="K7">
        <v>47.999000000000002</v>
      </c>
      <c r="M7">
        <v>1</v>
      </c>
      <c r="N7">
        <v>48.433999999999997</v>
      </c>
    </row>
    <row r="8" spans="1:16">
      <c r="M8">
        <v>2</v>
      </c>
      <c r="N8">
        <v>29.178999999999998</v>
      </c>
      <c r="O8">
        <v>2</v>
      </c>
      <c r="P8">
        <v>43.753</v>
      </c>
    </row>
    <row r="9" spans="1:16">
      <c r="M9">
        <v>2</v>
      </c>
      <c r="N9">
        <v>46.972000000000001</v>
      </c>
      <c r="O9">
        <v>2</v>
      </c>
      <c r="P9">
        <v>46.896999999999998</v>
      </c>
    </row>
    <row r="10" spans="1:16">
      <c r="M10">
        <v>2</v>
      </c>
      <c r="N10">
        <v>42.725999999999999</v>
      </c>
      <c r="O10">
        <v>2</v>
      </c>
      <c r="P10">
        <v>39.162999999999997</v>
      </c>
    </row>
    <row r="11" spans="1:16">
      <c r="M11">
        <v>2</v>
      </c>
      <c r="N11">
        <v>46.722999999999999</v>
      </c>
      <c r="O11">
        <v>2</v>
      </c>
      <c r="P11">
        <v>40.268999999999998</v>
      </c>
    </row>
    <row r="12" spans="1:16">
      <c r="M12">
        <v>2</v>
      </c>
      <c r="N12">
        <v>40.951999999999998</v>
      </c>
      <c r="O12">
        <v>2</v>
      </c>
      <c r="P12">
        <v>46.987000000000002</v>
      </c>
    </row>
    <row r="13" spans="1:16">
      <c r="M13">
        <v>3</v>
      </c>
      <c r="N13">
        <v>36.24</v>
      </c>
    </row>
    <row r="14" spans="1:16">
      <c r="M14">
        <v>3</v>
      </c>
      <c r="N14">
        <v>38.704000000000001</v>
      </c>
    </row>
    <row r="15" spans="1:16">
      <c r="M15">
        <v>3</v>
      </c>
    </row>
    <row r="16" spans="1:16">
      <c r="M16">
        <v>3</v>
      </c>
    </row>
    <row r="17" spans="13:13">
      <c r="M17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0bedd3a-6f12-41be-a697-5f16a8b0148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388A72087F5E49BBA10DA325CF911D" ma:contentTypeVersion="13" ma:contentTypeDescription="Create a new document." ma:contentTypeScope="" ma:versionID="b8db77afa40476417420919396990b7a">
  <xsd:schema xmlns:xsd="http://www.w3.org/2001/XMLSchema" xmlns:xs="http://www.w3.org/2001/XMLSchema" xmlns:p="http://schemas.microsoft.com/office/2006/metadata/properties" xmlns:ns3="00bedd3a-6f12-41be-a697-5f16a8b0148b" xmlns:ns4="8c80cc5b-8c1f-4abd-8839-312f41114acd" targetNamespace="http://schemas.microsoft.com/office/2006/metadata/properties" ma:root="true" ma:fieldsID="b84879c253c896ee6d4a87896601de0a" ns3:_="" ns4:_="">
    <xsd:import namespace="00bedd3a-6f12-41be-a697-5f16a8b0148b"/>
    <xsd:import namespace="8c80cc5b-8c1f-4abd-8839-312f41114ac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bedd3a-6f12-41be-a697-5f16a8b014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0cc5b-8c1f-4abd-8839-312f41114a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F6BFE0-8B80-485C-B47A-F14BB0012B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DEB22A-7A0F-4D26-937A-34E224C7B092}">
  <ds:schemaRefs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documentManagement/types"/>
    <ds:schemaRef ds:uri="8c80cc5b-8c1f-4abd-8839-312f41114acd"/>
    <ds:schemaRef ds:uri="00bedd3a-6f12-41be-a697-5f16a8b0148b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54BD6DA-AFDF-46BA-B76B-98004C3FF8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bedd3a-6f12-41be-a697-5f16a8b0148b"/>
    <ds:schemaRef ds:uri="8c80cc5b-8c1f-4abd-8839-312f41114a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List</vt:lpstr>
      <vt:lpstr>Manual Hit Testing Results</vt:lpstr>
      <vt:lpstr>Orders</vt:lpstr>
      <vt:lpstr>Change Log</vt:lpstr>
      <vt:lpstr> F vs RPM Curves</vt:lpstr>
      <vt:lpstr>Big Hammer Tests</vt:lpstr>
      <vt:lpstr>Max Frequency Test @ 6400</vt:lpstr>
      <vt:lpstr>3200 stepsrev</vt:lpstr>
      <vt:lpstr>Steps per rev adjustments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Luke Breitwieser</dc:creator>
  <cp:keywords/>
  <dc:description/>
  <cp:lastModifiedBy>Nicholas Poplavskyy</cp:lastModifiedBy>
  <cp:revision/>
  <dcterms:created xsi:type="dcterms:W3CDTF">2025-11-13T23:31:14Z</dcterms:created>
  <dcterms:modified xsi:type="dcterms:W3CDTF">2026-09-22T17:15:19Z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0x0101005C388A72087F5E49BBA10DA325CF911D</vt:lpwstr>
  </property>
</Properties>
</file>